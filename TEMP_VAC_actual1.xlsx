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hidePivotFieldList="1" defaultThemeVersion="124226"/>
  <mc:AlternateContent xmlns:mc="http://schemas.openxmlformats.org/markup-compatibility/2006">
    <mc:Choice Requires="x15">
      <x15ac:absPath xmlns:x15ac="http://schemas.microsoft.com/office/spreadsheetml/2010/11/ac" url="https://aaaautoeu.sharepoint.com/sites/DMS/HR/InternalDocuments/HR Reporting/Vacancy report/CZ_vacancies/"/>
    </mc:Choice>
  </mc:AlternateContent>
  <xr:revisionPtr revIDLastSave="0" documentId="8_{61FEF4FC-95ED-44DF-96A0-D59659F5FB83}" xr6:coauthVersionLast="47" xr6:coauthVersionMax="47" xr10:uidLastSave="{00000000-0000-0000-0000-000000000000}"/>
  <bookViews>
    <workbookView xWindow="-108" yWindow="-108" windowWidth="23256" windowHeight="12456" tabRatio="606" firstSheet="5" activeTab="5" xr2:uid="{00000000-000D-0000-FFFF-FFFF00000000}"/>
  </bookViews>
  <sheets>
    <sheet name="Zdroj" sheetId="2" state="hidden" r:id="rId1"/>
    <sheet name="  VACANCIES" sheetId="3" state="hidden" r:id="rId2"/>
    <sheet name="VAC_History" sheetId="5" state="hidden" r:id="rId3"/>
    <sheet name="Podrobnosti1" sheetId="7" state="hidden" r:id="rId4"/>
    <sheet name="VACANCIES" sheetId="6" r:id="rId5"/>
    <sheet name="Summary" sheetId="4" r:id="rId6"/>
    <sheet name="Zdroj číselníků" sheetId="8" state="hidden" r:id="rId7"/>
  </sheets>
  <definedNames>
    <definedName name="_xlnm._FilterDatabase" localSheetId="1" hidden="1">'  VACANCIES'!$A$1:$AV$116</definedName>
    <definedName name="_xlnm._FilterDatabase" localSheetId="4" hidden="1">VACANCIES!$B$1:$Q$211</definedName>
    <definedName name="_xlnm.Print_Area" localSheetId="1">'  VACANCIES'!$A$1:$P$116</definedName>
    <definedName name="_xlnm.Print_Area" localSheetId="4">VACANCIES!$B$1:$Q$211</definedName>
    <definedName name="_xlnm.Print_Titles" localSheetId="1">'  VACANCIES'!$1:$1</definedName>
    <definedName name="_xlnm.Print_Titles" localSheetId="4">VACANCIES!$1:$1</definedName>
  </definedNames>
  <calcPr calcId="191028"/>
  <pivotCaches>
    <pivotCache cacheId="350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4" l="1"/>
  <c r="B9" i="4"/>
  <c r="B5" i="4"/>
  <c r="B7" i="4"/>
  <c r="E64" i="6"/>
  <c r="E15" i="6"/>
  <c r="E16" i="6"/>
  <c r="E34" i="6"/>
  <c r="E74" i="6"/>
  <c r="E21" i="6"/>
  <c r="E50" i="6"/>
  <c r="E29" i="6"/>
  <c r="E7" i="6"/>
  <c r="E76" i="6"/>
  <c r="E70" i="6"/>
  <c r="E66" i="6"/>
  <c r="E11" i="6"/>
  <c r="E10" i="6"/>
  <c r="E53" i="6"/>
  <c r="E90" i="6"/>
  <c r="E94" i="6"/>
  <c r="E91" i="6"/>
  <c r="E42" i="6"/>
  <c r="E18" i="6"/>
  <c r="E75" i="6"/>
  <c r="E44" i="6"/>
  <c r="E47" i="6"/>
  <c r="E68" i="6"/>
  <c r="E73" i="6"/>
  <c r="E61" i="6"/>
  <c r="E78" i="6"/>
  <c r="E60" i="6"/>
  <c r="E52" i="6"/>
  <c r="E67" i="6"/>
  <c r="E14" i="6"/>
  <c r="E88" i="6"/>
  <c r="E87" i="6"/>
  <c r="E79" i="6"/>
  <c r="E84" i="6"/>
  <c r="E28" i="6" l="1"/>
  <c r="E41" i="6"/>
  <c r="E9" i="6"/>
  <c r="E20" i="6"/>
  <c r="E49" i="6"/>
  <c r="E62" i="6"/>
  <c r="E45" i="6"/>
  <c r="E56" i="6"/>
  <c r="E13" i="6"/>
  <c r="E12" i="6"/>
  <c r="E24" i="6"/>
  <c r="E4" i="6"/>
  <c r="E3" i="6"/>
  <c r="E31" i="6"/>
  <c r="E30" i="6"/>
  <c r="E19" i="6"/>
  <c r="E27" i="6"/>
  <c r="E17" i="6"/>
  <c r="E8" i="6"/>
  <c r="E35" i="6"/>
  <c r="E81" i="6"/>
  <c r="E71" i="6"/>
  <c r="E26" i="6"/>
  <c r="E86" i="6"/>
  <c r="E6" i="6"/>
  <c r="E40" i="6"/>
  <c r="E36" i="6"/>
  <c r="E93" i="6"/>
  <c r="E58" i="6"/>
  <c r="E33" i="6"/>
  <c r="E5" i="6"/>
  <c r="C5" i="3"/>
  <c r="C6" i="3"/>
  <c r="C7" i="3"/>
  <c r="C8" i="3"/>
  <c r="C9" i="3"/>
  <c r="C10" i="3"/>
  <c r="C11" i="3"/>
  <c r="C12" i="3"/>
  <c r="C13" i="3"/>
  <c r="C14" i="3"/>
  <c r="C15" i="3"/>
  <c r="C16" i="3"/>
  <c r="C17" i="3"/>
  <c r="C18" i="3"/>
  <c r="C19" i="3"/>
  <c r="C20" i="3"/>
  <c r="C21" i="3"/>
  <c r="C22" i="3"/>
  <c r="C23" i="3"/>
  <c r="C24" i="3"/>
  <c r="C25" i="3"/>
  <c r="C26" i="3"/>
  <c r="C27" i="3"/>
  <c r="C28" i="3"/>
  <c r="C29" i="3"/>
  <c r="N30" i="3"/>
  <c r="O30" i="3"/>
  <c r="P30" i="3"/>
  <c r="C31" i="3"/>
  <c r="C32" i="3"/>
  <c r="C33" i="3"/>
  <c r="N34" i="3"/>
  <c r="O34" i="3"/>
  <c r="P34" i="3"/>
  <c r="C35" i="3"/>
  <c r="C36" i="3"/>
  <c r="C37" i="3"/>
  <c r="C38" i="3"/>
  <c r="C39" i="3"/>
  <c r="C40" i="3"/>
  <c r="C41" i="3"/>
  <c r="C42" i="3"/>
  <c r="N43" i="3"/>
  <c r="O43" i="3"/>
  <c r="P43" i="3"/>
  <c r="C44" i="3"/>
  <c r="C45" i="3"/>
  <c r="C46" i="3"/>
  <c r="C47" i="3"/>
  <c r="P48" i="3"/>
  <c r="C49" i="3"/>
  <c r="N51" i="3"/>
  <c r="O51" i="3"/>
  <c r="O50" i="3" s="1"/>
  <c r="P51" i="3"/>
  <c r="C52" i="3"/>
  <c r="C53" i="3"/>
  <c r="C54" i="3"/>
  <c r="C55" i="3"/>
  <c r="N56" i="3"/>
  <c r="N50" i="3" s="1"/>
  <c r="O56" i="3"/>
  <c r="P56" i="3"/>
  <c r="P50" i="3" s="1"/>
  <c r="C57" i="3"/>
  <c r="N58" i="3"/>
  <c r="O58" i="3"/>
  <c r="P58" i="3"/>
  <c r="C59" i="3"/>
  <c r="N60" i="3"/>
  <c r="O60" i="3"/>
  <c r="P60" i="3"/>
  <c r="C61" i="3"/>
  <c r="C62" i="3"/>
  <c r="C63" i="3"/>
  <c r="C64" i="3"/>
  <c r="C65" i="3"/>
  <c r="N66" i="3"/>
  <c r="O66" i="3"/>
  <c r="P66" i="3"/>
  <c r="C67" i="3"/>
  <c r="C68" i="3"/>
  <c r="C69" i="3"/>
  <c r="C70" i="3"/>
  <c r="N71" i="3"/>
  <c r="O71" i="3"/>
  <c r="N72" i="3"/>
  <c r="O72" i="3"/>
  <c r="P72" i="3"/>
  <c r="C73" i="3"/>
  <c r="C74" i="3"/>
  <c r="C75" i="3"/>
  <c r="N76" i="3"/>
  <c r="O76" i="3"/>
  <c r="P76" i="3"/>
  <c r="C77" i="3"/>
  <c r="C78" i="3"/>
  <c r="C79" i="3"/>
  <c r="C80" i="3"/>
  <c r="N81" i="3"/>
  <c r="O81" i="3"/>
  <c r="P81" i="3"/>
  <c r="C82" i="3"/>
  <c r="C83" i="3"/>
  <c r="C84" i="3"/>
  <c r="C85" i="3"/>
  <c r="N86" i="3"/>
  <c r="O86" i="3"/>
  <c r="P86" i="3"/>
  <c r="C87" i="3"/>
  <c r="N88" i="3"/>
  <c r="O88" i="3"/>
  <c r="P88" i="3"/>
  <c r="C89" i="3"/>
  <c r="C90" i="3"/>
  <c r="C91" i="3"/>
  <c r="N92" i="3"/>
  <c r="O92" i="3"/>
  <c r="P92" i="3"/>
  <c r="C93" i="3"/>
  <c r="C94" i="3"/>
  <c r="C95" i="3"/>
  <c r="C96" i="3"/>
  <c r="N97" i="3"/>
  <c r="O97" i="3"/>
  <c r="P97" i="3"/>
  <c r="C98" i="3"/>
  <c r="C99" i="3"/>
  <c r="C100" i="3"/>
  <c r="N101" i="3"/>
  <c r="O101" i="3"/>
  <c r="P101" i="3"/>
  <c r="C102" i="3"/>
  <c r="N103" i="3"/>
  <c r="O103" i="3"/>
  <c r="N105" i="3"/>
  <c r="O105" i="3"/>
  <c r="P105" i="3"/>
  <c r="C106" i="3"/>
  <c r="N107" i="3"/>
  <c r="O107" i="3"/>
  <c r="P107" i="3"/>
  <c r="C108" i="3"/>
  <c r="C109" i="3"/>
  <c r="N110" i="3"/>
  <c r="O110" i="3"/>
  <c r="P110" i="3"/>
  <c r="C111" i="3"/>
  <c r="C112" i="3"/>
  <c r="N113" i="3"/>
  <c r="O113" i="3"/>
  <c r="P113" i="3"/>
  <c r="C114" i="3"/>
  <c r="C115" i="3"/>
  <c r="C116" i="3"/>
  <c r="N3" i="3"/>
  <c r="N2" i="3" s="1"/>
  <c r="O3" i="3"/>
  <c r="O2" i="3" s="1"/>
  <c r="P3" i="3"/>
  <c r="P2" i="3" s="1"/>
  <c r="N4" i="3"/>
  <c r="O4" i="3"/>
  <c r="P4" i="3"/>
  <c r="F127" i="2" l="1"/>
  <c r="E127" i="2"/>
  <c r="D127" i="2"/>
  <c r="F126" i="2"/>
  <c r="E126" i="2"/>
  <c r="D126" i="2"/>
  <c r="F125" i="2"/>
  <c r="E125" i="2"/>
  <c r="D125" i="2"/>
  <c r="F124" i="2"/>
  <c r="E124" i="2"/>
  <c r="D124" i="2"/>
  <c r="F123" i="2"/>
  <c r="E123" i="2"/>
  <c r="D123" i="2"/>
  <c r="F122" i="2"/>
  <c r="E122" i="2"/>
  <c r="D122" i="2"/>
  <c r="H117" i="2"/>
  <c r="E117" i="2"/>
  <c r="H116" i="2"/>
  <c r="E116" i="2"/>
  <c r="H115" i="2"/>
  <c r="E115" i="2"/>
  <c r="H114" i="2"/>
  <c r="E114" i="2"/>
  <c r="H113" i="2"/>
  <c r="E113" i="2"/>
  <c r="H112" i="2"/>
  <c r="E112" i="2"/>
  <c r="H111" i="2"/>
  <c r="E111" i="2"/>
  <c r="H110" i="2"/>
  <c r="E110" i="2"/>
  <c r="H109" i="2"/>
  <c r="E109" i="2"/>
  <c r="H105" i="2"/>
  <c r="E105" i="2"/>
  <c r="H104" i="2"/>
  <c r="E104" i="2"/>
  <c r="H103" i="2"/>
  <c r="E103" i="2"/>
  <c r="H102" i="2"/>
  <c r="E102" i="2"/>
  <c r="H101" i="2"/>
  <c r="E101" i="2"/>
  <c r="H97" i="2"/>
  <c r="E97" i="2"/>
  <c r="H96" i="2"/>
  <c r="E96" i="2"/>
  <c r="H95" i="2"/>
  <c r="E95" i="2"/>
  <c r="H94" i="2"/>
  <c r="E94" i="2"/>
  <c r="H93" i="2"/>
  <c r="E93" i="2"/>
  <c r="H92" i="2"/>
  <c r="E92" i="2"/>
  <c r="H91" i="2"/>
  <c r="E91" i="2"/>
  <c r="H90" i="2"/>
  <c r="E90" i="2"/>
  <c r="H89" i="2"/>
  <c r="E89" i="2"/>
  <c r="H88" i="2"/>
  <c r="E88" i="2"/>
  <c r="H87" i="2"/>
  <c r="E87" i="2"/>
  <c r="H86" i="2"/>
  <c r="E86" i="2"/>
  <c r="H85" i="2"/>
  <c r="E85" i="2"/>
  <c r="H84" i="2"/>
  <c r="E84" i="2"/>
  <c r="H83" i="2"/>
  <c r="E83" i="2"/>
  <c r="X61" i="2"/>
  <c r="X62" i="2" s="1"/>
  <c r="X57" i="2"/>
  <c r="X53" i="2"/>
  <c r="X48" i="2"/>
  <c r="D46" i="2"/>
  <c r="D45" i="2"/>
  <c r="D44" i="2"/>
  <c r="D43" i="2"/>
  <c r="D42" i="2"/>
  <c r="D41" i="2"/>
  <c r="D40" i="2"/>
  <c r="D39" i="2"/>
  <c r="D38" i="2"/>
  <c r="D37" i="2"/>
  <c r="D36" i="2"/>
  <c r="D35" i="2"/>
  <c r="D34" i="2"/>
  <c r="X33" i="2"/>
  <c r="D33" i="2"/>
  <c r="D32" i="2"/>
  <c r="D31" i="2"/>
  <c r="D30" i="2"/>
  <c r="D29" i="2"/>
  <c r="D28" i="2"/>
  <c r="D27" i="2"/>
  <c r="D26" i="2"/>
  <c r="D25" i="2"/>
  <c r="D24" i="2"/>
  <c r="D23" i="2"/>
  <c r="D22" i="2"/>
  <c r="D21" i="2"/>
  <c r="D20" i="2"/>
  <c r="D19" i="2"/>
  <c r="D18" i="2"/>
  <c r="D17" i="2"/>
  <c r="D16" i="2"/>
  <c r="D15" i="2"/>
  <c r="D14" i="2"/>
  <c r="D13" i="2"/>
  <c r="D12" i="2"/>
  <c r="D11" i="2"/>
  <c r="D10" i="2"/>
  <c r="D8" i="2"/>
  <c r="D7" i="2"/>
  <c r="D6" i="2"/>
  <c r="D5" i="2"/>
  <c r="D4" i="2"/>
  <c r="D3" i="2"/>
  <c r="D2" i="2"/>
  <c r="G122" i="2" l="1"/>
  <c r="G126" i="2"/>
  <c r="G125" i="2"/>
  <c r="G124" i="2"/>
  <c r="G127" i="2"/>
  <c r="G123" i="2"/>
</calcChain>
</file>

<file path=xl/sharedStrings.xml><?xml version="1.0" encoding="utf-8"?>
<sst xmlns="http://schemas.openxmlformats.org/spreadsheetml/2006/main" count="2571" uniqueCount="1052">
  <si>
    <t>STOCK</t>
  </si>
  <si>
    <t>cars</t>
  </si>
  <si>
    <t>managers</t>
  </si>
  <si>
    <t>CZ</t>
  </si>
  <si>
    <t>PRAHA region</t>
  </si>
  <si>
    <t xml:space="preserve">Obsazení poboček platné od </t>
  </si>
  <si>
    <t>PRAHA ČESTLICE</t>
  </si>
  <si>
    <t>ÚSTÍ NAD LABEM</t>
  </si>
  <si>
    <t>Country Sales Mng. CZ</t>
  </si>
  <si>
    <t>Miroslav Vápeník</t>
  </si>
  <si>
    <t>Country Manager</t>
  </si>
  <si>
    <t>Milan Dědeček</t>
  </si>
  <si>
    <t>Martin Roudnický</t>
  </si>
  <si>
    <t>Josef Borovec</t>
  </si>
  <si>
    <t>Jan Sokola</t>
  </si>
  <si>
    <t>PARDUBICE</t>
  </si>
  <si>
    <t>Site Mng.</t>
  </si>
  <si>
    <t>Replace Mng.</t>
  </si>
  <si>
    <t>Sales Closing Mng.</t>
  </si>
  <si>
    <t>CAP</t>
  </si>
  <si>
    <t>Training</t>
  </si>
  <si>
    <t>F&amp;I Regional Mng.</t>
  </si>
  <si>
    <t>Buying Regional Mng.</t>
  </si>
  <si>
    <t>Stock Regional Mng.</t>
  </si>
  <si>
    <t>OPS Regional Mng.</t>
  </si>
  <si>
    <t>ČESKÉ BUDĚJOVICE</t>
  </si>
  <si>
    <t>Petr Neckař</t>
  </si>
  <si>
    <t>Jan Kryl</t>
  </si>
  <si>
    <t>Senior Teameleader</t>
  </si>
  <si>
    <t>TEPLICE</t>
  </si>
  <si>
    <t>Praha</t>
  </si>
  <si>
    <t>Jiří Hromádka</t>
  </si>
  <si>
    <t>Dragan Ravič</t>
  </si>
  <si>
    <t>David Teplý</t>
  </si>
  <si>
    <t>Jakub Vavřička</t>
  </si>
  <si>
    <t>Richard Junger</t>
  </si>
  <si>
    <t>Ivan Petřík</t>
  </si>
  <si>
    <t>Marek Kejla</t>
  </si>
  <si>
    <t>Pavel Škabraha</t>
  </si>
  <si>
    <t>Lukáš Bělohoubek</t>
  </si>
  <si>
    <t>Martin Cmíral</t>
  </si>
  <si>
    <t>Jan Malchar</t>
  </si>
  <si>
    <t>CHOMUTOV</t>
  </si>
  <si>
    <t>Praha Čestlice</t>
  </si>
  <si>
    <t>Pavel Saidl</t>
  </si>
  <si>
    <t>Michal Bouček</t>
  </si>
  <si>
    <t>Ondřej Fencl</t>
  </si>
  <si>
    <t>BOHEMIA 1</t>
  </si>
  <si>
    <t>Miroslav Varmuža</t>
  </si>
  <si>
    <t>HRADEC KRÁLOVÉ</t>
  </si>
  <si>
    <t>České Budějovice</t>
  </si>
  <si>
    <t>Marcel Majdak</t>
  </si>
  <si>
    <t>Tomáš Vybíral</t>
  </si>
  <si>
    <t>Aleš Goszler</t>
  </si>
  <si>
    <t>Tomáš Vaska</t>
  </si>
  <si>
    <t>Marcel Ronge</t>
  </si>
  <si>
    <t>Jan Zavřel</t>
  </si>
  <si>
    <t>Roman Nekola</t>
  </si>
  <si>
    <t>KOLÍN</t>
  </si>
  <si>
    <t>Chomutov</t>
  </si>
  <si>
    <t>Jan Krušina</t>
  </si>
  <si>
    <t>Lukáš Hromádko</t>
  </si>
  <si>
    <t>Lukáš Geršic</t>
  </si>
  <si>
    <t>Stanislav Bernášek</t>
  </si>
  <si>
    <t>Martin Čížek</t>
  </si>
  <si>
    <t>JIHLAVA</t>
  </si>
  <si>
    <t>Kladno</t>
  </si>
  <si>
    <t>Ondřej Michl</t>
  </si>
  <si>
    <t>Jaroslav Kříž</t>
  </si>
  <si>
    <t>KLADNO</t>
  </si>
  <si>
    <t>Plzeň</t>
  </si>
  <si>
    <t>Jan Chadt</t>
  </si>
  <si>
    <t>Stanislav Šmerda</t>
  </si>
  <si>
    <t>Milan Kysilka</t>
  </si>
  <si>
    <t>Marek Černý</t>
  </si>
  <si>
    <t>PLZEŇ</t>
  </si>
  <si>
    <t>Sokolov</t>
  </si>
  <si>
    <t>Tomáš Mrňák</t>
  </si>
  <si>
    <t>Jan Kříž</t>
  </si>
  <si>
    <t>LIBEREC</t>
  </si>
  <si>
    <t>Tábor</t>
  </si>
  <si>
    <t>Jan Brom</t>
  </si>
  <si>
    <t>David Zika</t>
  </si>
  <si>
    <t>SOKOLOV</t>
  </si>
  <si>
    <t>BOHEMIA 2</t>
  </si>
  <si>
    <t>Petr Kalabis</t>
  </si>
  <si>
    <t>BRNO</t>
  </si>
  <si>
    <t>Hradec Králové</t>
  </si>
  <si>
    <t>Martin Leš</t>
  </si>
  <si>
    <t>Lukáš Uhlíř</t>
  </si>
  <si>
    <t>Jiří Borovička</t>
  </si>
  <si>
    <t>Martin Kotlán</t>
  </si>
  <si>
    <t>OTROKOVICE</t>
  </si>
  <si>
    <t>Kolín</t>
  </si>
  <si>
    <t>Jiří Vojáček</t>
  </si>
  <si>
    <t>Marek Bucko</t>
  </si>
  <si>
    <t>OLOMOUC</t>
  </si>
  <si>
    <t>Liberec</t>
  </si>
  <si>
    <t>Milan Hozák</t>
  </si>
  <si>
    <t>David Chott</t>
  </si>
  <si>
    <t>Roman Martinkovič</t>
  </si>
  <si>
    <t>OSTRAVA</t>
  </si>
  <si>
    <t>Mladá Boleslav</t>
  </si>
  <si>
    <t>Petr Šulc</t>
  </si>
  <si>
    <t>Matěj Šorejs</t>
  </si>
  <si>
    <t>OPAVA</t>
  </si>
  <si>
    <t>Teplice</t>
  </si>
  <si>
    <t>Jan Marek</t>
  </si>
  <si>
    <t>Ondřej Housa</t>
  </si>
  <si>
    <t>TÁBOR</t>
  </si>
  <si>
    <t>Ústí nad Labem</t>
  </si>
  <si>
    <t>Petr Janatka</t>
  </si>
  <si>
    <t>Martin Janovský</t>
  </si>
  <si>
    <t>MLADÁ BOLESLAV</t>
  </si>
  <si>
    <t>MORAVIA 1</t>
  </si>
  <si>
    <t>Jiří Pokorák</t>
  </si>
  <si>
    <t>ZNOJMO</t>
  </si>
  <si>
    <t>Brno</t>
  </si>
  <si>
    <t>Radovan Kejík</t>
  </si>
  <si>
    <t>Alen Svoboda</t>
  </si>
  <si>
    <t>Ondřej Ištván</t>
  </si>
  <si>
    <t>Martin Medek</t>
  </si>
  <si>
    <t>Vlastimil Košťál</t>
  </si>
  <si>
    <t>Martin Havel</t>
  </si>
  <si>
    <t>Martin Kostelka</t>
  </si>
  <si>
    <t>Michal Hroch</t>
  </si>
  <si>
    <t>SK</t>
  </si>
  <si>
    <t>BRATISLAVA</t>
  </si>
  <si>
    <t>Jihlava</t>
  </si>
  <si>
    <t>Lukáš Prokip</t>
  </si>
  <si>
    <t>Jiří Honek</t>
  </si>
  <si>
    <t xml:space="preserve"> </t>
  </si>
  <si>
    <t>KOŠICE</t>
  </si>
  <si>
    <t>Olomouc</t>
  </si>
  <si>
    <t>Tomáš Krmela</t>
  </si>
  <si>
    <t>Jiří Peška</t>
  </si>
  <si>
    <t>Kamil Martínek</t>
  </si>
  <si>
    <t>Jan Čechák</t>
  </si>
  <si>
    <t>ŽILINA</t>
  </si>
  <si>
    <t>Znojmo</t>
  </si>
  <si>
    <t>Daniel Kudr</t>
  </si>
  <si>
    <t>Josef Šimůnek</t>
  </si>
  <si>
    <t>NITRA</t>
  </si>
  <si>
    <t>MORAVIA 2</t>
  </si>
  <si>
    <t>Jiří Vávra</t>
  </si>
  <si>
    <t>BÁNSKÁ BYSTRICA</t>
  </si>
  <si>
    <t>Opava</t>
  </si>
  <si>
    <t>Pavel Baitl</t>
  </si>
  <si>
    <t>Tomáš Hadaščok</t>
  </si>
  <si>
    <t>Roman Chrástecký</t>
  </si>
  <si>
    <t>TRENČÍN</t>
  </si>
  <si>
    <t>Ostrava</t>
  </si>
  <si>
    <t>Marián Kozák</t>
  </si>
  <si>
    <t>Miroslav Petr</t>
  </si>
  <si>
    <t>Jiří Kubínek</t>
  </si>
  <si>
    <t>Josef Wróbel</t>
  </si>
  <si>
    <t>MICHALOVCE</t>
  </si>
  <si>
    <t>Pardubice</t>
  </si>
  <si>
    <t>Roman Debkowski</t>
  </si>
  <si>
    <t>Tomáš Vančura</t>
  </si>
  <si>
    <t>POPRAD</t>
  </si>
  <si>
    <t>Otrokovice</t>
  </si>
  <si>
    <t>Ondřej Polák</t>
  </si>
  <si>
    <t>Tomáš Hurník</t>
  </si>
  <si>
    <t>Vojtěch Žák</t>
  </si>
  <si>
    <t>LUČENEC</t>
  </si>
  <si>
    <t>Country Sales Mng. SK</t>
  </si>
  <si>
    <t>Igor Suchý</t>
  </si>
  <si>
    <t>Lukáš Faltus</t>
  </si>
  <si>
    <t>Robert Wiedner</t>
  </si>
  <si>
    <t>Bronislav Kroneisl</t>
  </si>
  <si>
    <t>NOVÉ ZÁMKY</t>
  </si>
  <si>
    <t>BRATISLAVA region</t>
  </si>
  <si>
    <t>Marek Koláček</t>
  </si>
  <si>
    <t>PREŠOV</t>
  </si>
  <si>
    <t>Bratislava</t>
  </si>
  <si>
    <t>Lukáš Špak</t>
  </si>
  <si>
    <t>Ľuboš Vajnagi</t>
  </si>
  <si>
    <t>Štefan Stronga</t>
  </si>
  <si>
    <t xml:space="preserve">Mário Záborský </t>
  </si>
  <si>
    <t>Erik Droppan</t>
  </si>
  <si>
    <t>Tomáš Tulej</t>
  </si>
  <si>
    <t>Michal Ledvenyi</t>
  </si>
  <si>
    <t>MARTIN</t>
  </si>
  <si>
    <t>Trnava</t>
  </si>
  <si>
    <t>Jan Tichý</t>
  </si>
  <si>
    <t>Lubo Šmondrk</t>
  </si>
  <si>
    <t>Martin Bulíček</t>
  </si>
  <si>
    <t>Juraj Chrást</t>
  </si>
  <si>
    <t>Liptovský Mikuláš</t>
  </si>
  <si>
    <t>SLOVAKIA 1</t>
  </si>
  <si>
    <t>Lukáš Svačina</t>
  </si>
  <si>
    <t>TRNAVA</t>
  </si>
  <si>
    <t>Nitra</t>
  </si>
  <si>
    <t>Libor Dvořák</t>
  </si>
  <si>
    <t>Tomáš Pytel</t>
  </si>
  <si>
    <t>Matěj Gál</t>
  </si>
  <si>
    <t>HU</t>
  </si>
  <si>
    <t>Budapešť</t>
  </si>
  <si>
    <t>Trenčín</t>
  </si>
  <si>
    <t>Radoslav Skaloš</t>
  </si>
  <si>
    <t>Richard Lehotský</t>
  </si>
  <si>
    <t>PL</t>
  </si>
  <si>
    <t>Warsaw</t>
  </si>
  <si>
    <t>Žilina</t>
  </si>
  <si>
    <t>Marek Bartík</t>
  </si>
  <si>
    <t>Roman Janoš</t>
  </si>
  <si>
    <t>Katowice</t>
  </si>
  <si>
    <t>Lučenec</t>
  </si>
  <si>
    <t>Lorant Magyar</t>
  </si>
  <si>
    <t>Norbert Molnár</t>
  </si>
  <si>
    <t>Veronika Bendiková</t>
  </si>
  <si>
    <t>Peter Illéš</t>
  </si>
  <si>
    <t>Miloš Vitko</t>
  </si>
  <si>
    <t>Wroclaw</t>
  </si>
  <si>
    <t>Banská Bystrica</t>
  </si>
  <si>
    <t>Mario Hrivnák</t>
  </si>
  <si>
    <t>Michal Burda</t>
  </si>
  <si>
    <t>Poznań</t>
  </si>
  <si>
    <t>SLOVAKIA 2</t>
  </si>
  <si>
    <t>Edvín Kühner</t>
  </si>
  <si>
    <t>Kraków</t>
  </si>
  <si>
    <t>Košice</t>
  </si>
  <si>
    <t>Lukáš Bodorík</t>
  </si>
  <si>
    <t>Lukáš Macháček</t>
  </si>
  <si>
    <t>Peter Bela</t>
  </si>
  <si>
    <t>Gliwice</t>
  </si>
  <si>
    <t>Poprad</t>
  </si>
  <si>
    <t>Pavol Chmura</t>
  </si>
  <si>
    <t>Miloslav Michalik</t>
  </si>
  <si>
    <t>Lódž</t>
  </si>
  <si>
    <t>Michalovce</t>
  </si>
  <si>
    <t>Michal Gluchman</t>
  </si>
  <si>
    <t>Daniel Duriak</t>
  </si>
  <si>
    <t>Zabrze</t>
  </si>
  <si>
    <t>Prešov</t>
  </si>
  <si>
    <t>Martin Bibko</t>
  </si>
  <si>
    <t>Roland Šunda</t>
  </si>
  <si>
    <t>Bielsko-Biała</t>
  </si>
  <si>
    <t>Country Sales Mng. PL</t>
  </si>
  <si>
    <t>Pavel Filipi</t>
  </si>
  <si>
    <t>Poland 1</t>
  </si>
  <si>
    <t>Vít Fabián</t>
  </si>
  <si>
    <t>Michal Przybylski</t>
  </si>
  <si>
    <t>Aleš Tomeček</t>
  </si>
  <si>
    <t>Blazej Rozynski</t>
  </si>
  <si>
    <t>Beata Filipi</t>
  </si>
  <si>
    <t>Dariusz Snopek   </t>
  </si>
  <si>
    <t>David Poncza</t>
  </si>
  <si>
    <t>Havlík + Jonšta</t>
  </si>
  <si>
    <t>Poznan</t>
  </si>
  <si>
    <t>Lodz</t>
  </si>
  <si>
    <t>Bartolomiej Zakrzewski</t>
  </si>
  <si>
    <t>Lukasz Bartoszewicz</t>
  </si>
  <si>
    <t>Peter Kozák</t>
  </si>
  <si>
    <t>Andrzej Korecki</t>
  </si>
  <si>
    <t>Poland 2</t>
  </si>
  <si>
    <t>Jan Lisztwan</t>
  </si>
  <si>
    <t>Piotr Aszychmin</t>
  </si>
  <si>
    <t>Maciej Mirkowski</t>
  </si>
  <si>
    <t>Ryszard Zielina</t>
  </si>
  <si>
    <t>Jacek Zatorski</t>
  </si>
  <si>
    <t>Andrzej Korycki</t>
  </si>
  <si>
    <t>Krakow</t>
  </si>
  <si>
    <t>Grzegorz Imiełowski</t>
  </si>
  <si>
    <t>Mateusz Kijak</t>
  </si>
  <si>
    <t>Krzystof Ziemski</t>
  </si>
  <si>
    <t>Martin Rak</t>
  </si>
  <si>
    <t>BUYING SK</t>
  </si>
  <si>
    <t>NEW</t>
  </si>
  <si>
    <t>RPL</t>
  </si>
  <si>
    <t>TOTAL</t>
  </si>
  <si>
    <t>Temporary</t>
  </si>
  <si>
    <t>BRATISLAVA HQ</t>
  </si>
  <si>
    <t xml:space="preserve">BRATISLAVA </t>
  </si>
  <si>
    <t>BUYING HU</t>
  </si>
  <si>
    <t>BUDAPEST</t>
  </si>
  <si>
    <t>Györ</t>
  </si>
  <si>
    <t>Budaörs</t>
  </si>
  <si>
    <t>Szekesfehervár</t>
  </si>
  <si>
    <t>SZEGED</t>
  </si>
  <si>
    <t>BYUING PL</t>
  </si>
  <si>
    <t>Total</t>
  </si>
  <si>
    <t>x</t>
  </si>
  <si>
    <t>PIASECZNO</t>
  </si>
  <si>
    <t>KATOWICE</t>
  </si>
  <si>
    <t>WROCŁAW</t>
  </si>
  <si>
    <t>Warsava N 22, R0</t>
  </si>
  <si>
    <t>Bydgoszcz</t>
  </si>
  <si>
    <t>Piastow</t>
  </si>
  <si>
    <t>Pobočky</t>
  </si>
  <si>
    <t>Buying</t>
  </si>
  <si>
    <t>Celkem</t>
  </si>
  <si>
    <t>Bára</t>
  </si>
  <si>
    <t>Terka</t>
  </si>
  <si>
    <t>Ondra</t>
  </si>
  <si>
    <t>Honza</t>
  </si>
  <si>
    <t>Romča</t>
  </si>
  <si>
    <t>Vlaďka</t>
  </si>
  <si>
    <t>Status</t>
  </si>
  <si>
    <t>Date of openning</t>
  </si>
  <si>
    <t>Time to hired</t>
  </si>
  <si>
    <t>Request for position</t>
  </si>
  <si>
    <t>Division</t>
  </si>
  <si>
    <t>Department</t>
  </si>
  <si>
    <t>Position</t>
  </si>
  <si>
    <t>Salary</t>
  </si>
  <si>
    <t xml:space="preserve">Hiring Manager </t>
  </si>
  <si>
    <t>Generalist</t>
  </si>
  <si>
    <t>Sources</t>
  </si>
  <si>
    <t>Comments</t>
  </si>
  <si>
    <t>No of
CVs TOTAL</t>
  </si>
  <si>
    <t>ACTUAL</t>
  </si>
  <si>
    <t>VAC</t>
  </si>
  <si>
    <t>TOTAL: PRAGUE HQ / BO + BRANCHES</t>
  </si>
  <si>
    <t>PRAGUE HQ / BO</t>
  </si>
  <si>
    <t>RPL (fill cap)</t>
  </si>
  <si>
    <t xml:space="preserve">169094, 169093, 169092, </t>
  </si>
  <si>
    <t>11_Call Centre</t>
  </si>
  <si>
    <t>CC_Ostrava</t>
  </si>
  <si>
    <t>CC Representative</t>
  </si>
  <si>
    <t>21 000 + 0- 9 000 (1.+2.měsíc)
21 000 + %(od 3.měs.)</t>
  </si>
  <si>
    <t>Jan Kovář</t>
  </si>
  <si>
    <t>Anna K.</t>
  </si>
  <si>
    <t>AAA, dobra práce, práce.cz, Inwork</t>
  </si>
  <si>
    <r>
      <t xml:space="preserve">Last hir: </t>
    </r>
    <r>
      <rPr>
        <sz val="12"/>
        <color rgb="FF000000"/>
        <rFont val="Arial"/>
        <family val="2"/>
        <charset val="238"/>
      </rPr>
      <t>Blahutová,</t>
    </r>
    <r>
      <rPr>
        <b/>
        <sz val="12"/>
        <color rgb="FF000000"/>
        <rFont val="Arial"/>
        <family val="2"/>
        <charset val="238"/>
      </rPr>
      <t xml:space="preserve"> </t>
    </r>
    <r>
      <rPr>
        <sz val="12"/>
        <color rgb="FF000000"/>
        <rFont val="Arial"/>
        <family val="2"/>
        <charset val="238"/>
      </rPr>
      <t>Marcol, Demeterová, Pochmanová(2.6.)</t>
    </r>
    <r>
      <rPr>
        <b/>
        <sz val="12"/>
        <color rgb="FF000000"/>
        <rFont val="Arial"/>
        <family val="2"/>
        <charset val="238"/>
      </rPr>
      <t xml:space="preserve">
No after 2nd:</t>
    </r>
    <r>
      <rPr>
        <sz val="12"/>
        <color rgb="FF000000"/>
        <rFont val="Arial"/>
        <family val="2"/>
        <charset val="238"/>
      </rPr>
      <t xml:space="preserve"> Marcolová (20. 3.)  Kniezková (7.4.)</t>
    </r>
    <r>
      <rPr>
        <sz val="12"/>
        <color rgb="FF000000"/>
        <rFont val="Arial"/>
        <family val="2"/>
        <charset val="238"/>
      </rPr>
      <t xml:space="preserve">
</t>
    </r>
    <r>
      <rPr>
        <b/>
        <sz val="12"/>
        <color rgb="FF000000"/>
        <rFont val="Arial"/>
        <family val="2"/>
        <charset val="238"/>
      </rPr>
      <t xml:space="preserve">no after 2nd:  </t>
    </r>
    <r>
      <rPr>
        <sz val="12"/>
        <color rgb="FF000000"/>
        <rFont val="Arial"/>
        <family val="2"/>
        <charset val="238"/>
      </rPr>
      <t xml:space="preserve">Hráčková, Jurásková, Vagáiová, 
</t>
    </r>
    <r>
      <rPr>
        <b/>
        <sz val="12"/>
        <color rgb="FF000000"/>
        <rFont val="Arial"/>
        <family val="2"/>
        <charset val="238"/>
      </rPr>
      <t xml:space="preserve">  </t>
    </r>
  </si>
  <si>
    <t xml:space="preserve">170489, 170490, 170491,170492, 170493
</t>
  </si>
  <si>
    <t>CC_Praha</t>
  </si>
  <si>
    <t>22 000 + 0- 13 000 (1.+2.měsíc)
22 000 + %(od 3.měs.)</t>
  </si>
  <si>
    <t>Vojta Toráč</t>
  </si>
  <si>
    <t>Kamila</t>
  </si>
  <si>
    <t>AAA, dobra práce, práce.cz, Inwork, FR</t>
  </si>
  <si>
    <r>
      <t xml:space="preserve">Hired: </t>
    </r>
    <r>
      <rPr>
        <sz val="12"/>
        <color rgb="FF000000"/>
        <rFont val="Arial"/>
        <family val="2"/>
        <charset val="238"/>
      </rPr>
      <t xml:space="preserve">Maternová, Hubačová, Vojtela ,Hiring: Nováková  (1.7.), Mačáková, Šolcová (?), Bino (1.8.)
</t>
    </r>
    <r>
      <rPr>
        <b/>
        <sz val="12"/>
        <color rgb="FF000000"/>
        <rFont val="Arial"/>
        <family val="2"/>
        <charset val="238"/>
      </rPr>
      <t xml:space="preserve">no after 2nd: </t>
    </r>
    <r>
      <rPr>
        <sz val="12"/>
        <color rgb="FF000000"/>
        <rFont val="Arial"/>
        <family val="2"/>
        <charset val="238"/>
      </rPr>
      <t xml:space="preserve">Křížová, Šimůnková, Švec, Bologa
</t>
    </r>
    <r>
      <rPr>
        <b/>
        <sz val="12"/>
        <color rgb="FF000000"/>
        <rFont val="Arial"/>
        <family val="2"/>
        <charset val="238"/>
      </rPr>
      <t xml:space="preserve">Didn´t come: </t>
    </r>
    <r>
      <rPr>
        <sz val="12"/>
        <color rgb="FF000000"/>
        <rFont val="Arial"/>
        <family val="2"/>
        <charset val="238"/>
      </rPr>
      <t xml:space="preserve">Shonová, Tulej
</t>
    </r>
    <r>
      <rPr>
        <b/>
        <sz val="12"/>
        <color rgb="FF000000"/>
        <rFont val="Arial"/>
        <family val="2"/>
        <charset val="238"/>
      </rPr>
      <t xml:space="preserve">Refused offer: </t>
    </r>
    <r>
      <rPr>
        <sz val="12"/>
        <color rgb="FF000000"/>
        <rFont val="Arial"/>
        <family val="2"/>
        <charset val="238"/>
      </rPr>
      <t>Bartáková, Skalová</t>
    </r>
  </si>
  <si>
    <t>Martin Tampír</t>
  </si>
  <si>
    <t>RPL (Hartlová)</t>
  </si>
  <si>
    <t>21_Commerce</t>
  </si>
  <si>
    <t>Import &amp; Export</t>
  </si>
  <si>
    <t>Assistant</t>
  </si>
  <si>
    <t>25.000 + 0 - 25.000 KPI</t>
  </si>
  <si>
    <t>Robert Radler</t>
  </si>
  <si>
    <t>AAA, práce</t>
  </si>
  <si>
    <r>
      <t xml:space="preserve">Hired </t>
    </r>
    <r>
      <rPr>
        <sz val="12"/>
        <color rgb="FF000000"/>
        <rFont val="Arial"/>
        <family val="2"/>
        <charset val="238"/>
      </rPr>
      <t xml:space="preserve">Kmochová
</t>
    </r>
    <r>
      <rPr>
        <b/>
        <sz val="12"/>
        <color rgb="FF000000"/>
        <rFont val="Arial"/>
        <family val="2"/>
        <charset val="238"/>
      </rPr>
      <t xml:space="preserve">For 2nd </t>
    </r>
    <r>
      <rPr>
        <sz val="12"/>
        <color rgb="FF000000"/>
        <rFont val="Arial"/>
        <family val="2"/>
        <charset val="238"/>
      </rPr>
      <t>Krásnová, Havlíčková</t>
    </r>
  </si>
  <si>
    <t>RPL (Gamazova)</t>
  </si>
  <si>
    <t>01_Marketing  &amp; Communication</t>
  </si>
  <si>
    <t>Web and Direct Marketing</t>
  </si>
  <si>
    <t>Web Specialist</t>
  </si>
  <si>
    <t>negotiable</t>
  </si>
  <si>
    <t>AAA, jobs, LI, Profesia</t>
  </si>
  <si>
    <r>
      <t xml:space="preserve">
In considering </t>
    </r>
    <r>
      <rPr>
        <sz val="12"/>
        <color rgb="FF000000"/>
        <rFont val="Arial"/>
        <family val="2"/>
        <charset val="238"/>
      </rPr>
      <t>Suská</t>
    </r>
    <r>
      <rPr>
        <b/>
        <sz val="12"/>
        <color rgb="FF000000"/>
        <rFont val="Arial"/>
        <family val="2"/>
        <charset val="238"/>
      </rPr>
      <t xml:space="preserve">
No after phonescreen 4x
Checking CVs
</t>
    </r>
  </si>
  <si>
    <t>RPL (Polcar)</t>
  </si>
  <si>
    <t>Digital Marketing</t>
  </si>
  <si>
    <t>Online Marketing Specialist</t>
  </si>
  <si>
    <t>Karel Smrž</t>
  </si>
  <si>
    <t>Anička</t>
  </si>
  <si>
    <t>AAA, jobs, práce.cz, LI</t>
  </si>
  <si>
    <r>
      <rPr>
        <b/>
        <sz val="12"/>
        <color rgb="FF000000"/>
        <rFont val="Arial"/>
        <family val="2"/>
        <charset val="238"/>
      </rPr>
      <t xml:space="preserve">Checking CV's
No after 2nd </t>
    </r>
    <r>
      <rPr>
        <sz val="12"/>
        <color rgb="FF000000"/>
        <rFont val="Arial"/>
        <family val="2"/>
        <charset val="238"/>
      </rPr>
      <t>Šuťák</t>
    </r>
  </si>
  <si>
    <t>RPL (Šubrt) + NEW</t>
  </si>
  <si>
    <t>Brand Design</t>
  </si>
  <si>
    <t>Graphic</t>
  </si>
  <si>
    <r>
      <rPr>
        <b/>
        <sz val="12"/>
        <color rgb="FF000000"/>
        <rFont val="Arial"/>
        <family val="2"/>
        <charset val="238"/>
      </rPr>
      <t xml:space="preserve">Hiring </t>
    </r>
    <r>
      <rPr>
        <sz val="12"/>
        <color rgb="FF000000"/>
        <rFont val="Arial"/>
        <family val="2"/>
        <charset val="238"/>
      </rPr>
      <t xml:space="preserve">Vašíčková, Procházka  (16.6)
</t>
    </r>
    <r>
      <rPr>
        <b/>
        <sz val="12"/>
        <color rgb="FF000000"/>
        <rFont val="Arial"/>
        <family val="2"/>
        <charset val="238"/>
      </rPr>
      <t xml:space="preserve">Got offer for external cooperation </t>
    </r>
    <r>
      <rPr>
        <sz val="12"/>
        <color rgb="FF000000"/>
        <rFont val="Arial"/>
        <family val="2"/>
        <charset val="238"/>
      </rPr>
      <t xml:space="preserve">Melanikova
</t>
    </r>
    <r>
      <rPr>
        <b/>
        <sz val="12"/>
        <color rgb="FF000000"/>
        <rFont val="Arial"/>
        <family val="2"/>
        <charset val="238"/>
      </rPr>
      <t xml:space="preserve">Case study </t>
    </r>
    <r>
      <rPr>
        <sz val="12"/>
        <color rgb="FF000000"/>
        <rFont val="Arial"/>
        <family val="2"/>
        <charset val="238"/>
      </rPr>
      <t xml:space="preserve">Střelec, Svoboda, Mihal
</t>
    </r>
    <r>
      <rPr>
        <b/>
        <sz val="12"/>
        <color rgb="FF000000"/>
        <rFont val="Arial"/>
        <family val="2"/>
        <charset val="238"/>
      </rPr>
      <t>No after 2nd</t>
    </r>
    <r>
      <rPr>
        <sz val="12"/>
        <color rgb="FF000000"/>
        <rFont val="Arial"/>
        <family val="2"/>
        <charset val="238"/>
      </rPr>
      <t xml:space="preserve"> Ranc, Gabriel, Tvrz, Povolný, Brna, Baldina, Gobunov, Pícha</t>
    </r>
  </si>
  <si>
    <t>NEW CAP</t>
  </si>
  <si>
    <t>Waiting for RFP</t>
  </si>
  <si>
    <t>DTP/Graphic</t>
  </si>
  <si>
    <t>Jan Metelka</t>
  </si>
  <si>
    <t>New request</t>
  </si>
  <si>
    <t>RPL (Kappel)</t>
  </si>
  <si>
    <t>04_Economic</t>
  </si>
  <si>
    <t>Consolidation &amp; Projects</t>
  </si>
  <si>
    <t>Group Tax Manager</t>
  </si>
  <si>
    <t>Vojtěch Karban</t>
  </si>
  <si>
    <t>AAA, jobs, LI, FR</t>
  </si>
  <si>
    <r>
      <rPr>
        <b/>
        <sz val="12"/>
        <color rgb="FF000000"/>
        <rFont val="Arial"/>
        <family val="2"/>
        <charset val="238"/>
      </rPr>
      <t>Msg sent</t>
    </r>
    <r>
      <rPr>
        <sz val="12"/>
        <color rgb="FF000000"/>
        <rFont val="Arial"/>
        <family val="2"/>
        <charset val="238"/>
      </rPr>
      <t xml:space="preserve"> 25x
</t>
    </r>
    <r>
      <rPr>
        <b/>
        <sz val="12"/>
        <color rgb="FF000000"/>
        <rFont val="Arial"/>
        <family val="2"/>
        <charset val="238"/>
      </rPr>
      <t xml:space="preserve">Refused practice test </t>
    </r>
    <r>
      <rPr>
        <sz val="12"/>
        <color rgb="FF000000"/>
        <rFont val="Arial"/>
        <family val="2"/>
        <charset val="238"/>
      </rPr>
      <t xml:space="preserve">Malina
</t>
    </r>
    <r>
      <rPr>
        <b/>
        <sz val="12"/>
        <color rgb="FF000000"/>
        <rFont val="Arial"/>
        <family val="2"/>
        <charset val="238"/>
      </rPr>
      <t>Not responding</t>
    </r>
    <r>
      <rPr>
        <sz val="12"/>
        <color rgb="FF000000"/>
        <rFont val="Arial"/>
        <family val="2"/>
        <charset val="238"/>
      </rPr>
      <t xml:space="preserve"> Skalický 
</t>
    </r>
    <r>
      <rPr>
        <b/>
        <sz val="12"/>
        <color rgb="FF000000"/>
        <rFont val="Arial"/>
        <family val="2"/>
        <charset val="238"/>
      </rPr>
      <t>No after psc</t>
    </r>
    <r>
      <rPr>
        <sz val="12"/>
        <color rgb="FF000000"/>
        <rFont val="Arial"/>
        <family val="2"/>
        <charset val="238"/>
      </rPr>
      <t xml:space="preserve"> Hýža</t>
    </r>
  </si>
  <si>
    <t>RPL (Kočová)</t>
  </si>
  <si>
    <t>IFRS Specialist</t>
  </si>
  <si>
    <t>Martin Přibyl</t>
  </si>
  <si>
    <r>
      <rPr>
        <b/>
        <sz val="12"/>
        <color rgb="FF000000"/>
        <rFont val="Arial"/>
        <family val="2"/>
        <charset val="238"/>
      </rPr>
      <t>For 2nd</t>
    </r>
    <r>
      <rPr>
        <sz val="12"/>
        <color rgb="FF000000"/>
        <rFont val="Arial"/>
        <family val="2"/>
        <charset val="238"/>
      </rPr>
      <t xml:space="preserve"> Papanov (4.6)
</t>
    </r>
    <r>
      <rPr>
        <b/>
        <sz val="12"/>
        <color rgb="FF000000"/>
        <rFont val="Arial"/>
        <family val="2"/>
        <charset val="238"/>
      </rPr>
      <t>Good for psc</t>
    </r>
    <r>
      <rPr>
        <sz val="12"/>
        <color rgb="FF000000"/>
        <rFont val="Arial"/>
        <family val="2"/>
        <charset val="238"/>
      </rPr>
      <t xml:space="preserve"> Němeček
</t>
    </r>
    <r>
      <rPr>
        <b/>
        <sz val="12"/>
        <color rgb="FF000000"/>
        <rFont val="Arial"/>
        <family val="2"/>
        <charset val="238"/>
      </rPr>
      <t>Not interested</t>
    </r>
    <r>
      <rPr>
        <sz val="12"/>
        <color rgb="FF000000"/>
        <rFont val="Arial"/>
        <family val="2"/>
        <charset val="238"/>
      </rPr>
      <t xml:space="preserve"> Beránková
</t>
    </r>
    <r>
      <rPr>
        <b/>
        <sz val="12"/>
        <color rgb="FF000000"/>
        <rFont val="Arial"/>
        <family val="2"/>
        <charset val="238"/>
      </rPr>
      <t xml:space="preserve">Overpriced </t>
    </r>
    <r>
      <rPr>
        <sz val="12"/>
        <color rgb="FF000000"/>
        <rFont val="Arial"/>
        <family val="2"/>
        <charset val="238"/>
      </rPr>
      <t>Ustianskyi</t>
    </r>
  </si>
  <si>
    <t>RPL (Kralovičová)</t>
  </si>
  <si>
    <t>06_HR</t>
  </si>
  <si>
    <t>Personnel&amp;Payroll</t>
  </si>
  <si>
    <t>Payroll Accountant</t>
  </si>
  <si>
    <t>Jitka Hořejší</t>
  </si>
  <si>
    <t>AAA, Jobs, intersource, ATS search</t>
  </si>
  <si>
    <r>
      <t xml:space="preserve">Hired 23.6. </t>
    </r>
    <r>
      <rPr>
        <sz val="12"/>
        <color rgb="FF000000"/>
        <rFont val="Arial"/>
        <family val="2"/>
        <charset val="238"/>
      </rPr>
      <t>Havelková</t>
    </r>
  </si>
  <si>
    <t>RPL (Jurštak)</t>
  </si>
  <si>
    <t>HR Controller</t>
  </si>
  <si>
    <t>negotiable
Ref.</t>
  </si>
  <si>
    <t>Martina Kahulová</t>
  </si>
  <si>
    <t>intersource, ATS search</t>
  </si>
  <si>
    <r>
      <rPr>
        <b/>
        <sz val="12"/>
        <color rgb="FF000000"/>
        <rFont val="Arial"/>
        <family val="2"/>
        <charset val="238"/>
      </rPr>
      <t xml:space="preserve">got offer Zajícová,  </t>
    </r>
    <r>
      <rPr>
        <sz val="12"/>
        <color rgb="FF000000"/>
        <rFont val="Arial"/>
        <family val="2"/>
        <charset val="238"/>
      </rPr>
      <t xml:space="preserve">after 1 st internal candidate
</t>
    </r>
  </si>
  <si>
    <t>RPL (Vojtíšek)</t>
  </si>
  <si>
    <t>12_IT</t>
  </si>
  <si>
    <t>IT Development</t>
  </si>
  <si>
    <t>Project Manger</t>
  </si>
  <si>
    <t>Robert Šmol</t>
  </si>
  <si>
    <t>AAA, jobs, LI</t>
  </si>
  <si>
    <r>
      <t xml:space="preserve">Hiring </t>
    </r>
    <r>
      <rPr>
        <sz val="12"/>
        <color rgb="FF000000"/>
        <rFont val="Arial"/>
        <family val="2"/>
        <charset val="238"/>
      </rPr>
      <t>Havrylova</t>
    </r>
  </si>
  <si>
    <t>RPL (Jurčík)</t>
  </si>
  <si>
    <t>08_Service</t>
  </si>
  <si>
    <t>Service</t>
  </si>
  <si>
    <t>Mechanic / Brno</t>
  </si>
  <si>
    <t>negotiable
Ref.
Náb.příspěvek</t>
  </si>
  <si>
    <t>Miroslav Knap</t>
  </si>
  <si>
    <t xml:space="preserve"> AAA, jobdnes, volnamista,facebook, dobrá práce, práce cz,inwork</t>
  </si>
  <si>
    <r>
      <rPr>
        <b/>
        <sz val="12"/>
        <color rgb="FF000000"/>
        <rFont val="Arial"/>
        <family val="2"/>
        <charset val="238"/>
      </rPr>
      <t xml:space="preserve">Checking CVs
Hired </t>
    </r>
    <r>
      <rPr>
        <sz val="12"/>
        <color rgb="FF000000"/>
        <rFont val="Arial"/>
        <family val="2"/>
        <charset val="238"/>
      </rPr>
      <t>Kosek (17.3.),</t>
    </r>
    <r>
      <rPr>
        <b/>
        <sz val="12"/>
        <color rgb="FF000000"/>
        <rFont val="Arial"/>
        <family val="2"/>
        <charset val="238"/>
      </rPr>
      <t xml:space="preserve"> </t>
    </r>
    <r>
      <rPr>
        <sz val="12"/>
        <color rgb="FF000000"/>
        <rFont val="Arial"/>
        <family val="2"/>
        <charset val="238"/>
      </rPr>
      <t xml:space="preserve">Plaček (4.3.)
</t>
    </r>
    <r>
      <rPr>
        <b/>
        <sz val="12"/>
        <color rgb="FF000000"/>
        <rFont val="Arial"/>
        <family val="2"/>
        <charset val="238"/>
      </rPr>
      <t xml:space="preserve">Refused offer </t>
    </r>
    <r>
      <rPr>
        <sz val="12"/>
        <color rgb="FF000000"/>
        <rFont val="Arial"/>
        <family val="2"/>
        <charset val="238"/>
      </rPr>
      <t xml:space="preserve">Brezánsky
</t>
    </r>
    <r>
      <rPr>
        <b/>
        <sz val="12"/>
        <color rgb="FF000000"/>
        <rFont val="Arial"/>
        <family val="2"/>
        <charset val="238"/>
      </rPr>
      <t xml:space="preserve">No after 1st </t>
    </r>
    <r>
      <rPr>
        <sz val="12"/>
        <color rgb="FF000000"/>
        <rFont val="Arial"/>
        <family val="2"/>
        <charset val="238"/>
      </rPr>
      <t>Huspenina, Sokol, Kopecký, Hošek (not suitable), Lavička, Čamek (didnt start), Šlehofer (didnt come)</t>
    </r>
  </si>
  <si>
    <t>RPL (Válek)</t>
  </si>
  <si>
    <t>Mechanic / Praha</t>
  </si>
  <si>
    <t>Checking CVs</t>
  </si>
  <si>
    <t>RPL (Hlavatý)</t>
  </si>
  <si>
    <t>Mechanic / Hradec Králové</t>
  </si>
  <si>
    <t>RPL (Beck)</t>
  </si>
  <si>
    <t>Warehouse</t>
  </si>
  <si>
    <t>Tires Storeman</t>
  </si>
  <si>
    <t>30.000 + 0 - 10.000 VB</t>
  </si>
  <si>
    <t>Luboš Štangler</t>
  </si>
  <si>
    <t xml:space="preserve"> AAA, jobdnes, dobrá práce, práce cz,inwork</t>
  </si>
  <si>
    <t>Smart Repair Technician - AVIA</t>
  </si>
  <si>
    <t>26 000+ 0-14 000 VB</t>
  </si>
  <si>
    <t>Petr Šimeček/Miloš Ponáhlý</t>
  </si>
  <si>
    <t>Mirka</t>
  </si>
  <si>
    <t xml:space="preserve"> AAA, jobdnes, volnamista, dobrá práce, práce cz,inwork</t>
  </si>
  <si>
    <t>Hiring: Vejvoda (LP)</t>
  </si>
  <si>
    <t>Panel Beater</t>
  </si>
  <si>
    <t>AAA, práce.cz, pracezarohem, dobraprace</t>
  </si>
  <si>
    <t>07_Stock &amp; Logistics</t>
  </si>
  <si>
    <t xml:space="preserve">Stock  </t>
  </si>
  <si>
    <t>Stock Controller - Znojmo</t>
  </si>
  <si>
    <t>25 000 + 0- 25 000 VB</t>
  </si>
  <si>
    <t>Borovec Josef</t>
  </si>
  <si>
    <t xml:space="preserve">Blanka  </t>
  </si>
  <si>
    <t>Hiring Tihlařík (1.7.)
Checking CV</t>
  </si>
  <si>
    <t>RPL Hánová</t>
  </si>
  <si>
    <t>Courier DPP - Otrokovice</t>
  </si>
  <si>
    <t>125,-Kč/hod.</t>
  </si>
  <si>
    <t>Borovec Josef/Michal Hroch</t>
  </si>
  <si>
    <t>RPL (Macháčková)</t>
  </si>
  <si>
    <t>waiting for</t>
  </si>
  <si>
    <t>Courier DPP - České Budějovice</t>
  </si>
  <si>
    <t xml:space="preserve">Borovec Josef </t>
  </si>
  <si>
    <t>AAA, práce cz., pracezarohem, dobraprace, jobdnes</t>
  </si>
  <si>
    <t>For 1st: Maxová, Tuma (5.6)</t>
  </si>
  <si>
    <t>RPL (Soukup)</t>
  </si>
  <si>
    <t>02_Car Sales</t>
  </si>
  <si>
    <t>Customer Care</t>
  </si>
  <si>
    <t>Customer Care Technician - Praha</t>
  </si>
  <si>
    <t>35 000 + 0-11 000 KPI</t>
  </si>
  <si>
    <t>Žerebný Michal</t>
  </si>
  <si>
    <t>Blanka</t>
  </si>
  <si>
    <t>AAA, práce.cz, pracezarohem, dobraprace, volnamista, jobdnes</t>
  </si>
  <si>
    <t>For 2nd Pudil, Reil (13.6.)
Checking CV</t>
  </si>
  <si>
    <t>RPL (Müller, Šimek, Sedláček)</t>
  </si>
  <si>
    <t>168761
154646</t>
  </si>
  <si>
    <t>05_Car Purchase</t>
  </si>
  <si>
    <t>Pricing</t>
  </si>
  <si>
    <t>Pricing Expert</t>
  </si>
  <si>
    <t>30 000 + 0 - 10 000 VB (GB 3m)</t>
  </si>
  <si>
    <t>Jiří Somol</t>
  </si>
  <si>
    <t>AAA, práce.cz, jobs.cz, dobraprace, volnamista, jobdnes</t>
  </si>
  <si>
    <r>
      <t xml:space="preserve">Hiring: </t>
    </r>
    <r>
      <rPr>
        <sz val="12"/>
        <color rgb="FF000000"/>
        <rFont val="Arial"/>
        <family val="2"/>
        <charset val="238"/>
      </rPr>
      <t xml:space="preserve"> Vitouš (1.8.)</t>
    </r>
    <r>
      <rPr>
        <b/>
        <sz val="12"/>
        <color rgb="FF000000"/>
        <rFont val="Arial"/>
        <family val="2"/>
        <charset val="238"/>
      </rPr>
      <t xml:space="preserve">
Last h: </t>
    </r>
    <r>
      <rPr>
        <sz val="12"/>
        <color rgb="FF000000"/>
        <rFont val="Arial"/>
        <family val="2"/>
        <charset val="238"/>
      </rPr>
      <t xml:space="preserve"> Tejnický (2. 6.),, Griessl (5.5.), Osagiede (1. 4.)</t>
    </r>
    <r>
      <rPr>
        <b/>
        <sz val="12"/>
        <color rgb="FF000000"/>
        <rFont val="Arial"/>
        <family val="2"/>
        <charset val="238"/>
      </rPr>
      <t xml:space="preserve">, </t>
    </r>
    <r>
      <rPr>
        <sz val="12"/>
        <color rgb="FF000000"/>
        <rFont val="Arial"/>
        <family val="2"/>
        <charset val="238"/>
      </rPr>
      <t>Rudiš (3.3.)</t>
    </r>
  </si>
  <si>
    <t xml:space="preserve">
170023
170515</t>
  </si>
  <si>
    <t>Mobile Buying</t>
  </si>
  <si>
    <t>Mobile Buyer - Praha</t>
  </si>
  <si>
    <t>25000+VB</t>
  </si>
  <si>
    <t>Tomáš Kaprálek</t>
  </si>
  <si>
    <r>
      <rPr>
        <b/>
        <sz val="12"/>
        <color rgb="FF000000"/>
        <rFont val="Arial"/>
        <family val="2"/>
        <charset val="238"/>
      </rPr>
      <t xml:space="preserve">For 1st: </t>
    </r>
    <r>
      <rPr>
        <sz val="12"/>
        <color rgb="FF000000"/>
        <rFont val="Arial"/>
        <family val="2"/>
        <charset val="238"/>
      </rPr>
      <t xml:space="preserve">Beránek (4.6), Srna (11.6)
</t>
    </r>
    <r>
      <rPr>
        <b/>
        <sz val="12"/>
        <color rgb="FF000000"/>
        <rFont val="Arial"/>
        <family val="2"/>
        <charset val="238"/>
      </rPr>
      <t xml:space="preserve">Hiring: </t>
    </r>
    <r>
      <rPr>
        <sz val="12"/>
        <color rgb="FF000000"/>
        <rFont val="Arial"/>
        <family val="2"/>
        <charset val="238"/>
      </rPr>
      <t xml:space="preserve">Koc (14.4)
</t>
    </r>
    <r>
      <rPr>
        <b/>
        <sz val="12"/>
        <color rgb="FF000000"/>
        <rFont val="Arial"/>
        <family val="2"/>
        <charset val="238"/>
      </rPr>
      <t xml:space="preserve">Not suitable: </t>
    </r>
    <r>
      <rPr>
        <sz val="12"/>
        <color rgb="FF000000"/>
        <rFont val="Arial"/>
        <family val="2"/>
        <charset val="238"/>
      </rPr>
      <t>Hořínek</t>
    </r>
  </si>
  <si>
    <t>Mobile Buyer - Otrokovice</t>
  </si>
  <si>
    <t>nev request</t>
  </si>
  <si>
    <t>MOTOTECHNA</t>
  </si>
  <si>
    <t>)</t>
  </si>
  <si>
    <t>RPL (Todorov)</t>
  </si>
  <si>
    <t>16_Mototechna</t>
  </si>
  <si>
    <t>Mototechna Drive</t>
  </si>
  <si>
    <t>Operations Manager</t>
  </si>
  <si>
    <t>Negotiable</t>
  </si>
  <si>
    <t>Jan Hrubý</t>
  </si>
  <si>
    <t>AAApráce, jobs</t>
  </si>
  <si>
    <t>For 2nd: Čori, Jonáš
No: Mayrichová, Sattler, Zuber</t>
  </si>
  <si>
    <t>RPL (Flek)</t>
  </si>
  <si>
    <t>Mototechna 2.0</t>
  </si>
  <si>
    <t>Car Trader</t>
  </si>
  <si>
    <t xml:space="preserve">Anna K. </t>
  </si>
  <si>
    <t>NO: Ben Nasim, Novák, Palokaj</t>
  </si>
  <si>
    <t>DPP</t>
  </si>
  <si>
    <t>Driver_Mototechna 2.0</t>
  </si>
  <si>
    <t>150 Kč/hod</t>
  </si>
  <si>
    <t>Michal Kučera</t>
  </si>
  <si>
    <t>AAA</t>
  </si>
  <si>
    <r>
      <t xml:space="preserve">Hiring: Foldin (dle LP červen),
Omluvil se z pohovoru: </t>
    </r>
    <r>
      <rPr>
        <sz val="12"/>
        <color rgb="FF000000"/>
        <rFont val="Arial"/>
        <family val="2"/>
        <charset val="238"/>
      </rPr>
      <t>Sůva (19.5.)</t>
    </r>
  </si>
  <si>
    <t xml:space="preserve">Reg. Praha </t>
  </si>
  <si>
    <t>PRAGUE BRANCH</t>
  </si>
  <si>
    <t>170558
170556
170555</t>
  </si>
  <si>
    <t>Selling</t>
  </si>
  <si>
    <t>Salesman - Praha</t>
  </si>
  <si>
    <t>22 000 / 25 000 + %
NP 30</t>
  </si>
  <si>
    <t>AAA, práce.cz, jobs.cz, dobraprace, volnamista, jobdnes, FB</t>
  </si>
  <si>
    <r>
      <t xml:space="preserve">Hired 1.7. </t>
    </r>
    <r>
      <rPr>
        <sz val="12"/>
        <color rgb="FF000000"/>
        <rFont val="Arial"/>
        <family val="2"/>
        <charset val="238"/>
      </rPr>
      <t xml:space="preserve"> Grayton, Olashy, Bílý, Kotouček, Dunda (1.8.)
</t>
    </r>
  </si>
  <si>
    <t>RPL (Rybínová, Hudeková)</t>
  </si>
  <si>
    <t>167171
168467</t>
  </si>
  <si>
    <t>Receptionist</t>
  </si>
  <si>
    <t>22.000 + 0 - 10.000</t>
  </si>
  <si>
    <r>
      <t xml:space="preserve">Hired 1.6. </t>
    </r>
    <r>
      <rPr>
        <sz val="11"/>
        <color rgb="FF000000"/>
        <rFont val="Arial"/>
        <family val="2"/>
        <charset val="238"/>
      </rPr>
      <t xml:space="preserve">Kralertová (1/2), </t>
    </r>
    <r>
      <rPr>
        <b/>
        <sz val="11"/>
        <color rgb="FF000000"/>
        <rFont val="Arial"/>
        <family val="2"/>
        <charset val="238"/>
      </rPr>
      <t xml:space="preserve">1.7. </t>
    </r>
    <r>
      <rPr>
        <sz val="11"/>
        <color rgb="FF000000"/>
        <rFont val="Arial"/>
        <family val="2"/>
        <charset val="238"/>
      </rPr>
      <t>Chlupáčová (1/2)</t>
    </r>
  </si>
  <si>
    <t>RPL(Fill cap, Ravič)</t>
  </si>
  <si>
    <t>165511
170511</t>
  </si>
  <si>
    <t>03_Financial Services</t>
  </si>
  <si>
    <t>Selling Support</t>
  </si>
  <si>
    <t>Customer Service Specialist  - Praha</t>
  </si>
  <si>
    <t xml:space="preserve">25.000 + %
</t>
  </si>
  <si>
    <t>David Hlavnička/Tereza Holečková</t>
  </si>
  <si>
    <t>AAA, párce.cz, párce za rohem, jobs.cz</t>
  </si>
  <si>
    <r>
      <rPr>
        <b/>
        <sz val="12"/>
        <color rgb="FF000000"/>
        <rFont val="Arial"/>
        <family val="2"/>
        <charset val="238"/>
      </rPr>
      <t xml:space="preserve">Hired: </t>
    </r>
    <r>
      <rPr>
        <sz val="12"/>
        <color rgb="FF000000"/>
        <rFont val="Arial"/>
        <family val="2"/>
        <charset val="238"/>
      </rPr>
      <t xml:space="preserve">Gallik (2.6)
</t>
    </r>
    <r>
      <rPr>
        <b/>
        <sz val="12"/>
        <color rgb="FF000000"/>
        <rFont val="Arial"/>
        <family val="2"/>
        <charset val="238"/>
      </rPr>
      <t xml:space="preserve">IM: </t>
    </r>
    <r>
      <rPr>
        <sz val="12"/>
        <color rgb="FF000000"/>
        <rFont val="Arial"/>
        <family val="2"/>
        <charset val="238"/>
      </rPr>
      <t xml:space="preserve">Adamová Valerie
No after PD: Kvasničková
No after 1st.: Fialka, Rothanzl, Formanová (not suitable)
</t>
    </r>
    <r>
      <rPr>
        <b/>
        <sz val="12"/>
        <color rgb="FF000000"/>
        <rFont val="Arial"/>
        <family val="2"/>
        <charset val="238"/>
      </rPr>
      <t xml:space="preserve">Refused offer: </t>
    </r>
    <r>
      <rPr>
        <sz val="12"/>
        <color rgb="FF000000"/>
        <rFont val="Arial"/>
        <family val="2"/>
        <charset val="238"/>
      </rPr>
      <t>Hrabarova, Valentová, Brabec</t>
    </r>
  </si>
  <si>
    <t>162756
167792
167799</t>
  </si>
  <si>
    <t>Test Driver</t>
  </si>
  <si>
    <t>22 000 + %</t>
  </si>
  <si>
    <t>Petr Kuchynka</t>
  </si>
  <si>
    <t xml:space="preserve">AAA, párce.cz, párce za rohem, </t>
  </si>
  <si>
    <r>
      <rPr>
        <b/>
        <sz val="12"/>
        <color rgb="FF000000"/>
        <rFont val="Arial"/>
        <family val="2"/>
        <charset val="238"/>
      </rPr>
      <t xml:space="preserve">
Hiring </t>
    </r>
    <r>
      <rPr>
        <sz val="12"/>
        <color rgb="FF000000"/>
        <rFont val="Arial"/>
        <family val="2"/>
        <charset val="238"/>
      </rPr>
      <t xml:space="preserve">Žilka (1.8.)
</t>
    </r>
    <r>
      <rPr>
        <b/>
        <sz val="12"/>
        <color rgb="FF000000"/>
        <rFont val="Arial"/>
        <family val="2"/>
        <charset val="238"/>
      </rPr>
      <t xml:space="preserve">For 2nd </t>
    </r>
    <r>
      <rPr>
        <sz val="12"/>
        <color rgb="FF000000"/>
        <rFont val="Arial"/>
        <family val="2"/>
        <charset val="238"/>
      </rPr>
      <t xml:space="preserve">Bakalář (9.6.)
</t>
    </r>
    <r>
      <rPr>
        <b/>
        <sz val="12"/>
        <color rgb="FF000000"/>
        <rFont val="Arial"/>
        <family val="2"/>
        <charset val="238"/>
      </rPr>
      <t xml:space="preserve">No after 2nd </t>
    </r>
    <r>
      <rPr>
        <sz val="12"/>
        <color rgb="FF000000"/>
        <rFont val="Arial"/>
        <family val="2"/>
        <charset val="238"/>
      </rPr>
      <t xml:space="preserve">Slabý, Vinklář, Tkadlec, Horvát, Bittner, Dupal
</t>
    </r>
    <r>
      <rPr>
        <b/>
        <sz val="12"/>
        <color rgb="FF000000"/>
        <rFont val="Arial"/>
        <family val="2"/>
        <charset val="238"/>
      </rPr>
      <t>Didnt come</t>
    </r>
    <r>
      <rPr>
        <sz val="12"/>
        <color rgb="FF000000"/>
        <rFont val="Arial"/>
        <family val="2"/>
        <charset val="238"/>
      </rPr>
      <t xml:space="preserve"> Kubánek, Rolenc, Moravec, Beneš
</t>
    </r>
    <r>
      <rPr>
        <b/>
        <sz val="12"/>
        <color rgb="FF000000"/>
        <rFont val="Arial"/>
        <family val="2"/>
        <charset val="238"/>
      </rPr>
      <t>Checking CV</t>
    </r>
  </si>
  <si>
    <t>HPP</t>
  </si>
  <si>
    <t>Assistant Salesman</t>
  </si>
  <si>
    <t>25.000 + 15.000</t>
  </si>
  <si>
    <t>AAA, práce, jobs</t>
  </si>
  <si>
    <r>
      <t xml:space="preserve">After 2nd </t>
    </r>
    <r>
      <rPr>
        <sz val="12"/>
        <color rgb="FF000000"/>
        <rFont val="Arial"/>
        <family val="2"/>
        <charset val="238"/>
      </rPr>
      <t>Kovalenko</t>
    </r>
    <r>
      <rPr>
        <b/>
        <sz val="12"/>
        <color rgb="FF000000"/>
        <rFont val="Arial"/>
        <family val="2"/>
        <charset val="238"/>
      </rPr>
      <t xml:space="preserve">
Hired 2.6. </t>
    </r>
    <r>
      <rPr>
        <sz val="12"/>
        <color rgb="FF000000"/>
        <rFont val="Arial"/>
        <family val="2"/>
        <charset val="238"/>
      </rPr>
      <t xml:space="preserve">Stehlík
</t>
    </r>
    <r>
      <rPr>
        <b/>
        <sz val="12"/>
        <color rgb="FF000000"/>
        <rFont val="Arial"/>
        <family val="2"/>
        <charset val="238"/>
      </rPr>
      <t>No after 2nd 2x</t>
    </r>
  </si>
  <si>
    <t>RPL (Kroc)</t>
  </si>
  <si>
    <t>04_Automotive OPS</t>
  </si>
  <si>
    <t>OPS (Full Time)</t>
  </si>
  <si>
    <t>Helper_Boxy</t>
  </si>
  <si>
    <t>26 000 + 0 - 8000</t>
  </si>
  <si>
    <r>
      <t xml:space="preserve">Hiring: </t>
    </r>
    <r>
      <rPr>
        <sz val="12"/>
        <color rgb="FF000000"/>
        <rFont val="Arial"/>
        <family val="2"/>
        <charset val="238"/>
      </rPr>
      <t>Gomba Jan (dle lp červen)</t>
    </r>
  </si>
  <si>
    <t>RPL (Ljubimcev, Hlaváč))</t>
  </si>
  <si>
    <t>168454, 168452</t>
  </si>
  <si>
    <t>Fotograf _Praha</t>
  </si>
  <si>
    <t>František Kudrna</t>
  </si>
  <si>
    <r>
      <t xml:space="preserve">IM: </t>
    </r>
    <r>
      <rPr>
        <sz val="12"/>
        <rFont val="Arial"/>
        <family val="2"/>
        <charset val="238"/>
      </rPr>
      <t>Kmochová (1.6.), 
Hiring: Scaletta (11.6.)</t>
    </r>
    <r>
      <rPr>
        <b/>
        <sz val="12"/>
        <rFont val="Arial"/>
        <family val="2"/>
      </rPr>
      <t xml:space="preserve">
</t>
    </r>
  </si>
  <si>
    <t>RPL (Silný Lukáš+Fill CAP)</t>
  </si>
  <si>
    <t>Waiting for RFP 2x</t>
  </si>
  <si>
    <t>Helper _Praha</t>
  </si>
  <si>
    <t>AAA, párce.cz, práce za rohem</t>
  </si>
  <si>
    <r>
      <t xml:space="preserve">Hiring: </t>
    </r>
    <r>
      <rPr>
        <sz val="12"/>
        <rFont val="Arial"/>
        <family val="2"/>
        <charset val="238"/>
      </rPr>
      <t>Fábik (červen?)</t>
    </r>
  </si>
  <si>
    <t>ČESTLICE</t>
  </si>
  <si>
    <t>RPL (Šoltys)</t>
  </si>
  <si>
    <t>Salesman - Čestlice</t>
  </si>
  <si>
    <t>25.000 + 0 - 25.000</t>
  </si>
  <si>
    <t>AAA, práce.cz, inwork, dobraprace, jobdnes</t>
  </si>
  <si>
    <t>For 2nd 1x</t>
  </si>
  <si>
    <t>RPL(Panzenbergerová)</t>
  </si>
  <si>
    <t>Customer Service Specialist  - Čestlice</t>
  </si>
  <si>
    <t>RPL (Zacharkyv)</t>
  </si>
  <si>
    <t>Helper - Čestlice</t>
  </si>
  <si>
    <t>Didnt come to the int: Novák (4. 6. 2025)
No after 2nd: Lacinová</t>
  </si>
  <si>
    <t>RPL (Řehoř)</t>
  </si>
  <si>
    <t>Test Driver - Čestlice</t>
  </si>
  <si>
    <t xml:space="preserve">(50 000GM)
FB
</t>
  </si>
  <si>
    <t xml:space="preserve">Checking CVs
Hired: Hořínek (23.4.)
Refused offer: Jelínek, Wetzstein
No after 2nd: Lán, Kucharczyk
Didn´t come: Zeman
</t>
  </si>
  <si>
    <t>KLECANY</t>
  </si>
  <si>
    <t>RPL (Fill cap)</t>
  </si>
  <si>
    <t>Helper _Klecany</t>
  </si>
  <si>
    <r>
      <rPr>
        <b/>
        <sz val="12"/>
        <rFont val="Arial"/>
        <family val="2"/>
        <charset val="238"/>
      </rPr>
      <t>Hiring:</t>
    </r>
    <r>
      <rPr>
        <sz val="12"/>
        <rFont val="Arial"/>
        <family val="2"/>
      </rPr>
      <t xml:space="preserve"> Jindřich Lukáš (dle LP červen)
</t>
    </r>
    <r>
      <rPr>
        <b/>
        <sz val="12"/>
        <rFont val="Arial"/>
        <family val="2"/>
        <charset val="238"/>
      </rPr>
      <t>IM:</t>
    </r>
    <r>
      <rPr>
        <sz val="12"/>
        <rFont val="Arial"/>
        <family val="2"/>
      </rPr>
      <t xml:space="preserve"> Doležal </t>
    </r>
  </si>
  <si>
    <t>BRANCHES</t>
  </si>
  <si>
    <t>Bohemia 1</t>
  </si>
  <si>
    <t>RPL  (fill cap)</t>
  </si>
  <si>
    <t xml:space="preserve">Selling </t>
  </si>
  <si>
    <t>Site Manager - České Budějovice</t>
  </si>
  <si>
    <t>40 000 + %</t>
  </si>
  <si>
    <t>Varmuža Miroslav</t>
  </si>
  <si>
    <t>AAA, práce.cz,dobraprace, volnamista, jobdnes</t>
  </si>
  <si>
    <t xml:space="preserve">
For 1st Nutz
Checking CV </t>
  </si>
  <si>
    <t>RPL  (Bohoňková)</t>
  </si>
  <si>
    <t xml:space="preserve">
165509</t>
  </si>
  <si>
    <t>Customer Service Specialist - České Budějovice</t>
  </si>
  <si>
    <t>22 000 + %
NP 30</t>
  </si>
  <si>
    <t>Vaska Tomáš</t>
  </si>
  <si>
    <t xml:space="preserve">
Hired Pešková (2.6.)
Get offer Rajnochová
Hired Tolingerová (5.5.)
No after 2nd Klásková, Holzelová, Nováková, Chvojka, Smržová, Svatoň, Vandová, Procházka, Bureš, Dolejšová, Šafářová, Studený
Didnt come Melchrová, Turek, Novotná, Koubalík
Checking CV </t>
  </si>
  <si>
    <t>RPL (Jaroš)</t>
  </si>
  <si>
    <t>Test driver - České Budějovice</t>
  </si>
  <si>
    <t xml:space="preserve">New request
</t>
  </si>
  <si>
    <t>RPL (Šafářová)</t>
  </si>
  <si>
    <t>1xDPP</t>
  </si>
  <si>
    <t>OPS (Part time)</t>
  </si>
  <si>
    <t>Office cleaner - Budějce</t>
  </si>
  <si>
    <t>125,- Kč/hod</t>
  </si>
  <si>
    <t>AAA, dobraprace, fajnbrigady, jobdnes</t>
  </si>
  <si>
    <r>
      <rPr>
        <b/>
        <sz val="12"/>
        <color rgb="FF000000"/>
        <rFont val="Arial"/>
        <family val="2"/>
        <charset val="238"/>
      </rPr>
      <t>Checking CV's
Medicaly unsuitable</t>
    </r>
    <r>
      <rPr>
        <sz val="12"/>
        <color rgb="FF000000"/>
        <rFont val="Arial"/>
        <family val="2"/>
        <charset val="238"/>
      </rPr>
      <t xml:space="preserve"> Dušková
</t>
    </r>
    <r>
      <rPr>
        <b/>
        <sz val="12"/>
        <color rgb="FF000000"/>
        <rFont val="Arial"/>
        <family val="2"/>
        <charset val="238"/>
      </rPr>
      <t>Didn't come</t>
    </r>
    <r>
      <rPr>
        <sz val="12"/>
        <color rgb="FF000000"/>
        <rFont val="Arial"/>
        <family val="2"/>
        <charset val="238"/>
      </rPr>
      <t xml:space="preserve"> Boubelíková, Pospíšilová</t>
    </r>
  </si>
  <si>
    <t>0.25</t>
  </si>
  <si>
    <t>RPL (Brotánek)</t>
  </si>
  <si>
    <t xml:space="preserve">OPS </t>
  </si>
  <si>
    <t>Helper - Chomutov</t>
  </si>
  <si>
    <t>26 000 + 0 - 4 000 VB</t>
  </si>
  <si>
    <t>AAA, dobraprace, práce.cz, pracezarohem</t>
  </si>
  <si>
    <t>Hiring Jelenok
Checking CV</t>
  </si>
  <si>
    <t>Assistant Salesman_part time - Kladno</t>
  </si>
  <si>
    <t xml:space="preserve">150 Kč / hod
</t>
  </si>
  <si>
    <t>AAA, fajnbrigady</t>
  </si>
  <si>
    <t>Checking CV</t>
  </si>
  <si>
    <t>RPL (Šalom)</t>
  </si>
  <si>
    <t>Salesman - Plzeň</t>
  </si>
  <si>
    <t>AAA, jobs, práce, pracezarohem</t>
  </si>
  <si>
    <t xml:space="preserve">
No after 2nd Hora, Dvořák, Strejc
Checking CVs</t>
  </si>
  <si>
    <t>RPL (Cingrošová, Rudnytska, Jelínková)</t>
  </si>
  <si>
    <t xml:space="preserve">
166752
138912</t>
  </si>
  <si>
    <t>Customer Service Specialist - Plzeň</t>
  </si>
  <si>
    <t>22 000 + % NP</t>
  </si>
  <si>
    <t>For 2nd Tomášková, Háčiková (6.6.)
Hired Malásková, Jelínková (5.5.)
Refused offer Kadečková, Sinkulová, Hesounová, Hoštová
Hiring Lerch (1.4.) FR
No after 2nd Jindřichová, Braunová, Šatrová, Rundtov, Beňo, Nusková, Faitová, Krejčová</t>
  </si>
  <si>
    <t>Test driver - Plzeň</t>
  </si>
  <si>
    <t>(50 000  GM)</t>
  </si>
  <si>
    <t>AAA, práce.cz, práce.cz, inwork, dobraprace, jobdnes</t>
  </si>
  <si>
    <r>
      <rPr>
        <b/>
        <sz val="12"/>
        <color rgb="FF000000"/>
        <rFont val="Arial"/>
        <family val="2"/>
        <charset val="238"/>
      </rPr>
      <t xml:space="preserve">Waiting for decision: Dolejš (21.5.)
Didn´t come: Fleisner
No after phsc: </t>
    </r>
    <r>
      <rPr>
        <sz val="12"/>
        <color rgb="FF000000"/>
        <rFont val="Arial"/>
        <family val="2"/>
        <charset val="238"/>
      </rPr>
      <t>Červenka</t>
    </r>
  </si>
  <si>
    <t>162968
162964</t>
  </si>
  <si>
    <t>Test driver - Příbram</t>
  </si>
  <si>
    <t>22 000 + 0 - 18 000</t>
  </si>
  <si>
    <t xml:space="preserve">AAA, práce.cz, práce za rohem, dobrá práce, jobdnes </t>
  </si>
  <si>
    <t>No after 2nd: Lán
1x bude obsazeno IM - Hořínek ze Sokolova (už máme náhradu)</t>
  </si>
  <si>
    <t>RPL (Kabeš, Zrůst)</t>
  </si>
  <si>
    <t>169516
169515</t>
  </si>
  <si>
    <t>Helper - Plzeň</t>
  </si>
  <si>
    <t>26 000 + 0 - 8 000 VB</t>
  </si>
  <si>
    <t>Čížek Martin</t>
  </si>
  <si>
    <t xml:space="preserve">For 2nd Ackermann (12.6.)
Checking CV's
</t>
  </si>
  <si>
    <t xml:space="preserve">SOKOLOV </t>
  </si>
  <si>
    <t>Customer Service Specialist - Sokolov</t>
  </si>
  <si>
    <t xml:space="preserve">22 000 + % NP
</t>
  </si>
  <si>
    <t xml:space="preserve">
Didnt start Korbelová (1.6.)
No after 2nd Gareisová, Čerňanská, Beňo
Checking CV</t>
  </si>
  <si>
    <t>RPL (Bulíček) + IM Kamír</t>
  </si>
  <si>
    <t>Salesman - Sokolov</t>
  </si>
  <si>
    <t>AAA, dobraprace, inwork, pracezarohem, práce cz</t>
  </si>
  <si>
    <t>For 2nd Štika (9.6.)
Checking CV</t>
  </si>
  <si>
    <t xml:space="preserve">
RPL (Fill cap)</t>
  </si>
  <si>
    <t xml:space="preserve">
162942
166404
166774
</t>
  </si>
  <si>
    <t>OPS (Full time)</t>
  </si>
  <si>
    <t>Helper - Sokolov</t>
  </si>
  <si>
    <t>26 000 + 0 - 4 000</t>
  </si>
  <si>
    <t xml:space="preserve">Hiring Sawruk, Šeděnka
Hired Šašek, Stejskal, Hanková, Štiák
Didnt start Schottner (10.3.)
No after 2nd Mencl, Melničuk, Šarišský, Skoumal, Forro
Checking CV
</t>
  </si>
  <si>
    <t xml:space="preserve">DPP
</t>
  </si>
  <si>
    <t>Driver Part time - Sokolov</t>
  </si>
  <si>
    <t>Hiring: Tirindová (LP)</t>
  </si>
  <si>
    <t>Bohemia 2</t>
  </si>
  <si>
    <t>RPL (Válek + Vejnar)</t>
  </si>
  <si>
    <t>Salesman - Hradec Králové</t>
  </si>
  <si>
    <t>22.000 + % (50 GB)</t>
  </si>
  <si>
    <r>
      <rPr>
        <b/>
        <sz val="11"/>
        <color rgb="FF000000"/>
        <rFont val="Arial"/>
        <family val="2"/>
        <charset val="238"/>
      </rPr>
      <t xml:space="preserve">
Checking CV's
Hired</t>
    </r>
    <r>
      <rPr>
        <sz val="11"/>
        <color rgb="FF000000"/>
        <rFont val="Arial"/>
        <family val="2"/>
        <charset val="238"/>
      </rPr>
      <t xml:space="preserve"> Dušek (2.6)
</t>
    </r>
    <r>
      <rPr>
        <b/>
        <sz val="11"/>
        <color rgb="FF000000"/>
        <rFont val="Arial"/>
        <family val="2"/>
        <charset val="238"/>
      </rPr>
      <t xml:space="preserve">No fater 2nd </t>
    </r>
    <r>
      <rPr>
        <sz val="11"/>
        <color rgb="FF000000"/>
        <rFont val="Arial"/>
        <family val="2"/>
        <charset val="238"/>
      </rPr>
      <t>Fajt, Hanuš, Růžička</t>
    </r>
  </si>
  <si>
    <t>162413
165531</t>
  </si>
  <si>
    <t>Helper - Hradec Králové</t>
  </si>
  <si>
    <t>125,-Kč/h</t>
  </si>
  <si>
    <r>
      <rPr>
        <b/>
        <sz val="11"/>
        <color rgb="FF000000"/>
        <rFont val="Arial"/>
        <family val="2"/>
        <charset val="238"/>
      </rPr>
      <t>Hiring:</t>
    </r>
    <r>
      <rPr>
        <sz val="11"/>
        <color rgb="FF000000"/>
        <rFont val="Arial"/>
        <family val="2"/>
        <charset val="238"/>
      </rPr>
      <t xml:space="preserve"> Hlavatý (LP)
</t>
    </r>
  </si>
  <si>
    <t>Driver - Hradec Králové</t>
  </si>
  <si>
    <t>Hiring: Marek(2.6/LP)</t>
  </si>
  <si>
    <t>RPL (Kroužecká)</t>
  </si>
  <si>
    <t xml:space="preserve">
161947</t>
  </si>
  <si>
    <t>Customer Service Specialist  - Kolín</t>
  </si>
  <si>
    <t xml:space="preserve">25.000 + %
NP 30 000
</t>
  </si>
  <si>
    <t>AAA, práce.cz, práce za rohem, jobs.cz</t>
  </si>
  <si>
    <r>
      <t xml:space="preserve">Refused offer: Slavíčková, Talacko
Didn´t come: Svobodová, Kumbera, Zadražil
No after 2nd: </t>
    </r>
    <r>
      <rPr>
        <sz val="12"/>
        <color rgb="FF000000"/>
        <rFont val="Arial"/>
        <family val="2"/>
        <charset val="238"/>
      </rPr>
      <t xml:space="preserve">Pichl, Kočerhán 
</t>
    </r>
    <r>
      <rPr>
        <b/>
        <sz val="12"/>
        <color rgb="FF000000"/>
        <rFont val="Arial"/>
        <family val="2"/>
        <charset val="238"/>
      </rPr>
      <t xml:space="preserve">Hired: </t>
    </r>
    <r>
      <rPr>
        <sz val="12"/>
        <color rgb="FF000000"/>
        <rFont val="Arial"/>
        <family val="2"/>
        <charset val="238"/>
      </rPr>
      <t xml:space="preserve">Volencová 3.2.
</t>
    </r>
  </si>
  <si>
    <t>RPL (Blechová)</t>
  </si>
  <si>
    <t>Office Cleaner - Kolín</t>
  </si>
  <si>
    <t>125 Kč/hod</t>
  </si>
  <si>
    <r>
      <rPr>
        <b/>
        <sz val="12"/>
        <color rgb="FF000000"/>
        <rFont val="Arial"/>
        <family val="2"/>
        <charset val="238"/>
      </rPr>
      <t xml:space="preserve">Hiring: </t>
    </r>
    <r>
      <rPr>
        <sz val="12"/>
        <color rgb="FF000000"/>
        <rFont val="Arial"/>
        <family val="2"/>
        <charset val="238"/>
      </rPr>
      <t xml:space="preserve">Apltauerová (1.7)
</t>
    </r>
    <r>
      <rPr>
        <b/>
        <sz val="12"/>
        <color rgb="FF000000"/>
        <rFont val="Arial"/>
        <family val="2"/>
        <charset val="238"/>
      </rPr>
      <t xml:space="preserve">Refused offer: </t>
    </r>
    <r>
      <rPr>
        <sz val="12"/>
        <color rgb="FF000000"/>
        <rFont val="Arial"/>
        <family val="2"/>
        <charset val="238"/>
      </rPr>
      <t>Ptáčková</t>
    </r>
    <r>
      <rPr>
        <b/>
        <sz val="12"/>
        <color rgb="FF000000"/>
        <rFont val="Arial"/>
        <family val="2"/>
        <charset val="238"/>
      </rPr>
      <t xml:space="preserve">, </t>
    </r>
    <r>
      <rPr>
        <sz val="12"/>
        <color rgb="FF000000"/>
        <rFont val="Arial"/>
        <family val="2"/>
        <charset val="238"/>
      </rPr>
      <t>Pixalová (24.2)</t>
    </r>
  </si>
  <si>
    <t>Driver DPP- Kolín</t>
  </si>
  <si>
    <t>Helper DPP- Kolín</t>
  </si>
  <si>
    <t xml:space="preserve">Checking CVs
</t>
  </si>
  <si>
    <t>RPL (Luprich)</t>
  </si>
  <si>
    <t>Salesman - Liberec</t>
  </si>
  <si>
    <t>AAA, fajn brigády, Job dnes</t>
  </si>
  <si>
    <r>
      <rPr>
        <b/>
        <sz val="12"/>
        <color rgb="FF000000"/>
        <rFont val="Arial"/>
        <family val="2"/>
        <charset val="238"/>
      </rPr>
      <t xml:space="preserve">Hiring </t>
    </r>
    <r>
      <rPr>
        <sz val="12"/>
        <color rgb="FF000000"/>
        <rFont val="Arial"/>
        <family val="2"/>
        <charset val="238"/>
      </rPr>
      <t>Kryvljak (1.7)</t>
    </r>
  </si>
  <si>
    <t xml:space="preserve">
RPL (Kučírek,Čečatka)</t>
  </si>
  <si>
    <t>Helper - Liberec</t>
  </si>
  <si>
    <t xml:space="preserve">
Hiring:Vlach (LP) Filiip (LP)
Hired: Goda, (24.3), Vítek (23.4)
For 1st: Marek(4.6)
Offer: Mikula(refused offer)
No after 1st: Říha, Šoltys, Kuča, Koťátko, Hausler (not suitable) Karala, Pech (didnt comme)
Dindt start: Pollach</t>
  </si>
  <si>
    <t xml:space="preserve">new request
</t>
  </si>
  <si>
    <t>Driver - Liberec</t>
  </si>
  <si>
    <t>For 1st: Androš(2.5), Mandík (16.5)
Didnt comme: Roubalová, Rondoš, Urban (28.4).Cicko (4.4)</t>
  </si>
  <si>
    <t>,</t>
  </si>
  <si>
    <t>Driver - Mladá Boleslav</t>
  </si>
  <si>
    <r>
      <t xml:space="preserve">Hired:  </t>
    </r>
    <r>
      <rPr>
        <sz val="11"/>
        <color rgb="FF000000"/>
        <rFont val="Arial"/>
        <family val="2"/>
        <charset val="238"/>
      </rPr>
      <t>Houžvic (20.5)</t>
    </r>
    <r>
      <rPr>
        <b/>
        <sz val="11"/>
        <color rgb="FF000000"/>
        <rFont val="Arial"/>
        <family val="2"/>
      </rPr>
      <t xml:space="preserve">
No after 1st: </t>
    </r>
    <r>
      <rPr>
        <sz val="11"/>
        <color rgb="FF000000"/>
        <rFont val="Arial"/>
        <family val="2"/>
        <charset val="238"/>
      </rPr>
      <t>Šmída (not suitable)</t>
    </r>
  </si>
  <si>
    <t>RPL (Maršíčková - LTS)</t>
  </si>
  <si>
    <t xml:space="preserve">
169088</t>
  </si>
  <si>
    <t>Customer Service Specialist  - Teplice</t>
  </si>
  <si>
    <t xml:space="preserve">25.000 + %
</t>
  </si>
  <si>
    <r>
      <t xml:space="preserve">Refused offer: </t>
    </r>
    <r>
      <rPr>
        <sz val="12"/>
        <color rgb="FF000000"/>
        <rFont val="Arial"/>
        <family val="2"/>
        <charset val="238"/>
      </rPr>
      <t xml:space="preserve">Janda </t>
    </r>
  </si>
  <si>
    <t>RPL (Vála)</t>
  </si>
  <si>
    <t>Helper - Teplice</t>
  </si>
  <si>
    <t>AAA, práce.cz, práce za rohem, dobraprace</t>
  </si>
  <si>
    <r>
      <t xml:space="preserve">
Hiring </t>
    </r>
    <r>
      <rPr>
        <sz val="12"/>
        <color rgb="FF000000"/>
        <rFont val="Arial"/>
        <family val="2"/>
        <charset val="238"/>
      </rPr>
      <t>Janoušek</t>
    </r>
    <r>
      <rPr>
        <b/>
        <sz val="12"/>
        <color rgb="FF000000"/>
        <rFont val="Arial"/>
        <family val="2"/>
        <charset val="238"/>
      </rPr>
      <t xml:space="preserve">
No after 2nd </t>
    </r>
    <r>
      <rPr>
        <sz val="12"/>
        <color rgb="FF000000"/>
        <rFont val="Arial"/>
        <family val="2"/>
        <charset val="238"/>
      </rPr>
      <t>Jelenok, Do Hoai, Jordán, Procházka</t>
    </r>
    <r>
      <rPr>
        <b/>
        <sz val="12"/>
        <color rgb="FF000000"/>
        <rFont val="Arial"/>
        <family val="2"/>
        <charset val="238"/>
      </rPr>
      <t xml:space="preserve">
Checking CV</t>
    </r>
  </si>
  <si>
    <t>Driver - Teplice</t>
  </si>
  <si>
    <t xml:space="preserve">Hired: Chrž, Brych (27.5)
</t>
  </si>
  <si>
    <t>RPL (Piotrovský)</t>
  </si>
  <si>
    <t>Salesman - Ústí nad Labem</t>
  </si>
  <si>
    <t>AAA, práce.cz, práce za rohem, inwork, dobraprace</t>
  </si>
  <si>
    <t>RPL (Henychová, Betyárová)</t>
  </si>
  <si>
    <t>Customer Service Specialist  -Ústí nad Labem</t>
  </si>
  <si>
    <t xml:space="preserve">Checking CVs
</t>
  </si>
  <si>
    <t>168092
165106</t>
  </si>
  <si>
    <t>Helper - Ústí nad Labem</t>
  </si>
  <si>
    <r>
      <rPr>
        <b/>
        <sz val="12"/>
        <color rgb="FF000000"/>
        <rFont val="Arial"/>
        <family val="2"/>
        <charset val="238"/>
      </rPr>
      <t xml:space="preserve">
Hiring </t>
    </r>
    <r>
      <rPr>
        <sz val="12"/>
        <color rgb="FF000000"/>
        <rFont val="Arial"/>
        <family val="2"/>
        <charset val="238"/>
      </rPr>
      <t xml:space="preserve">Číhal
</t>
    </r>
    <r>
      <rPr>
        <b/>
        <sz val="12"/>
        <color rgb="FF000000"/>
        <rFont val="Arial"/>
        <family val="2"/>
        <charset val="238"/>
      </rPr>
      <t xml:space="preserve">No after 2nd </t>
    </r>
    <r>
      <rPr>
        <sz val="12"/>
        <color rgb="FF000000"/>
        <rFont val="Arial"/>
        <family val="2"/>
        <charset val="238"/>
      </rPr>
      <t xml:space="preserve">Kakeš, Plachý
</t>
    </r>
    <r>
      <rPr>
        <b/>
        <sz val="12"/>
        <color rgb="FF000000"/>
        <rFont val="Arial"/>
        <family val="2"/>
        <charset val="238"/>
      </rPr>
      <t>Checking CV</t>
    </r>
  </si>
  <si>
    <t xml:space="preserve">
RPL (fill CAP)</t>
  </si>
  <si>
    <t>Driver - Ústí nad Labem</t>
  </si>
  <si>
    <t>Hired: Kurucz (15.5)
Hiring: Verba (LP)
IM:Jungmann</t>
  </si>
  <si>
    <t>Moravia 1</t>
  </si>
  <si>
    <t>RPL (Stehlíček, Kotyza, Hrňa)</t>
  </si>
  <si>
    <t>170623
170624
170625</t>
  </si>
  <si>
    <t>Salesman - Brno</t>
  </si>
  <si>
    <t xml:space="preserve">22.000 + %
</t>
  </si>
  <si>
    <r>
      <rPr>
        <b/>
        <sz val="11"/>
        <color rgb="FF000000"/>
        <rFont val="Arial"/>
        <family val="2"/>
        <charset val="238"/>
      </rPr>
      <t xml:space="preserve">
For 2nd 6x
Got offer </t>
    </r>
    <r>
      <rPr>
        <sz val="11"/>
        <color rgb="FF000000"/>
        <rFont val="Arial"/>
        <family val="2"/>
        <charset val="238"/>
      </rPr>
      <t>Štefan</t>
    </r>
    <r>
      <rPr>
        <b/>
        <sz val="11"/>
        <color rgb="FF000000"/>
        <rFont val="Arial"/>
        <family val="2"/>
        <charset val="238"/>
      </rPr>
      <t xml:space="preserve">
Hired 2.6. </t>
    </r>
    <r>
      <rPr>
        <sz val="11"/>
        <color rgb="FF000000"/>
        <rFont val="Arial"/>
        <family val="2"/>
        <charset val="238"/>
      </rPr>
      <t xml:space="preserve">Souček
</t>
    </r>
    <r>
      <rPr>
        <b/>
        <sz val="11"/>
        <color rgb="FF000000"/>
        <rFont val="Arial"/>
        <family val="2"/>
        <charset val="238"/>
      </rPr>
      <t xml:space="preserve">Stopped communicating </t>
    </r>
    <r>
      <rPr>
        <sz val="11"/>
        <color rgb="FF000000"/>
        <rFont val="Arial"/>
        <family val="2"/>
        <charset val="238"/>
      </rPr>
      <t>Grolinski</t>
    </r>
    <r>
      <rPr>
        <sz val="11"/>
        <color rgb="FF000000"/>
        <rFont val="Arial"/>
        <family val="2"/>
        <charset val="238"/>
      </rPr>
      <t xml:space="preserve">
</t>
    </r>
    <r>
      <rPr>
        <b/>
        <sz val="11"/>
        <color rgb="FF000000"/>
        <rFont val="Arial"/>
        <family val="2"/>
        <charset val="238"/>
      </rPr>
      <t xml:space="preserve">Refused offer </t>
    </r>
    <r>
      <rPr>
        <sz val="11"/>
        <color rgb="FF000000"/>
        <rFont val="Arial"/>
        <family val="2"/>
        <charset val="238"/>
      </rPr>
      <t xml:space="preserve">Míča (fix)
</t>
    </r>
  </si>
  <si>
    <t>RPL (Butorová)</t>
  </si>
  <si>
    <t>Customer Service Specialist  - Brno</t>
  </si>
  <si>
    <r>
      <rPr>
        <b/>
        <sz val="11"/>
        <color rgb="FF000000"/>
        <rFont val="Arial"/>
        <family val="2"/>
        <charset val="238"/>
      </rPr>
      <t>Hiring:</t>
    </r>
    <r>
      <rPr>
        <sz val="11"/>
        <color rgb="FF000000"/>
        <rFont val="Arial"/>
        <family val="2"/>
        <charset val="238"/>
      </rPr>
      <t xml:space="preserve"> Bačáková (2.6)Dostálová,Procházka (1.7)
</t>
    </r>
    <r>
      <rPr>
        <b/>
        <sz val="11"/>
        <color rgb="FF000000"/>
        <rFont val="Arial"/>
        <family val="2"/>
        <charset val="238"/>
      </rPr>
      <t>For 1st:</t>
    </r>
    <r>
      <rPr>
        <sz val="11"/>
        <color rgb="FF000000"/>
        <rFont val="Arial"/>
        <family val="2"/>
        <charset val="238"/>
      </rPr>
      <t xml:space="preserve"> Svobodová. (22.5), Pitour, Dostálová(23.5), Bačáková, Šlapanský (27.5)
No after 1st: Dvořák, Tokarev, Stojanová, Stloukal,Lar (not suitable)
</t>
    </r>
  </si>
  <si>
    <t xml:space="preserve">Test Driver - Brno </t>
  </si>
  <si>
    <t>22 000 + 0 - 18 000 GB ve ZD</t>
  </si>
  <si>
    <r>
      <rPr>
        <b/>
        <sz val="12"/>
        <rFont val="Arial"/>
        <family val="2"/>
        <charset val="238"/>
      </rPr>
      <t>Nenastoupil:</t>
    </r>
    <r>
      <rPr>
        <sz val="12"/>
        <rFont val="Arial"/>
        <family val="2"/>
      </rPr>
      <t xml:space="preserve"> Bednář (2. 6. 2025)
</t>
    </r>
    <r>
      <rPr>
        <b/>
        <sz val="12"/>
        <rFont val="Arial"/>
        <family val="2"/>
        <charset val="238"/>
      </rPr>
      <t>No after 2nd:</t>
    </r>
    <r>
      <rPr>
        <sz val="12"/>
        <rFont val="Arial"/>
        <family val="2"/>
      </rPr>
      <t xml:space="preserve"> Cink</t>
    </r>
  </si>
  <si>
    <t xml:space="preserve">
</t>
  </si>
  <si>
    <t>Fill to CAP</t>
  </si>
  <si>
    <t>Helper - Jihlava</t>
  </si>
  <si>
    <t>26 000 + 0 - 6 000 VB</t>
  </si>
  <si>
    <t>AAA, práce.cz,dobraprace, inwork, jobdnes</t>
  </si>
  <si>
    <r>
      <rPr>
        <b/>
        <sz val="11"/>
        <color rgb="FF000000"/>
        <rFont val="Arial"/>
        <family val="2"/>
        <charset val="238"/>
      </rPr>
      <t xml:space="preserve">Checking CV's
Hired </t>
    </r>
    <r>
      <rPr>
        <sz val="11"/>
        <color rgb="FF000000"/>
        <rFont val="Arial"/>
        <family val="2"/>
        <charset val="238"/>
      </rPr>
      <t xml:space="preserve">Sýkora (1.4)
</t>
    </r>
    <r>
      <rPr>
        <b/>
        <sz val="11"/>
        <color rgb="FF000000"/>
        <rFont val="Arial"/>
        <family val="2"/>
        <charset val="238"/>
      </rPr>
      <t xml:space="preserve">No after 2nd </t>
    </r>
    <r>
      <rPr>
        <sz val="11"/>
        <color rgb="FF000000"/>
        <rFont val="Arial"/>
        <family val="2"/>
        <charset val="238"/>
      </rPr>
      <t xml:space="preserve">Turenič, Pojezdný, Včela, Pech, Šebestová
</t>
    </r>
    <r>
      <rPr>
        <b/>
        <sz val="11"/>
        <color rgb="FF000000"/>
        <rFont val="Arial"/>
        <family val="2"/>
        <charset val="238"/>
      </rPr>
      <t>Didn't come</t>
    </r>
    <r>
      <rPr>
        <sz val="11"/>
        <color rgb="FF000000"/>
        <rFont val="Arial"/>
        <family val="2"/>
        <charset val="238"/>
      </rPr>
      <t xml:space="preserve"> Nováček</t>
    </r>
  </si>
  <si>
    <t>Moravia 2</t>
  </si>
  <si>
    <t>RFP (Ostrava)</t>
  </si>
  <si>
    <t>Customer Service Specialist - Opava</t>
  </si>
  <si>
    <t>22.000 + %</t>
  </si>
  <si>
    <t xml:space="preserve">Checking CVs
No after 2nd: Ciosk
</t>
  </si>
  <si>
    <t>RPL (Rederová, Thomasová - IM)</t>
  </si>
  <si>
    <t xml:space="preserve">163607
163608
</t>
  </si>
  <si>
    <t>Customer Service Specialist - Ostrava</t>
  </si>
  <si>
    <t>AAA, práce.cz, práce za rohem, jobdnes</t>
  </si>
  <si>
    <r>
      <t xml:space="preserve">Practice day: Rašková (waiting for term), Stenzlová - hiring (1.7.),  Refused offer: Jašík, Kostolanská </t>
    </r>
    <r>
      <rPr>
        <b/>
        <sz val="12"/>
        <color rgb="FF000000"/>
        <rFont val="Arial"/>
        <family val="2"/>
        <charset val="238"/>
      </rPr>
      <t>No after 2nd</t>
    </r>
    <r>
      <rPr>
        <sz val="12"/>
        <color rgb="FF000000"/>
        <rFont val="Arial"/>
        <family val="2"/>
        <charset val="238"/>
      </rPr>
      <t xml:space="preserve">:  Seidler, Ripl, 
</t>
    </r>
  </si>
  <si>
    <t>RPL (Prošek + fill to CAP)</t>
  </si>
  <si>
    <t xml:space="preserve">
165478</t>
  </si>
  <si>
    <t>Helper - Ostrava</t>
  </si>
  <si>
    <t>Pavel Filipí</t>
  </si>
  <si>
    <t>AAA, práce.cz,pracezarohem, inwork, dobraprace, jobdnes</t>
  </si>
  <si>
    <r>
      <rPr>
        <b/>
        <sz val="11"/>
        <color rgb="FF000000"/>
        <rFont val="Arial"/>
        <family val="2"/>
        <charset val="238"/>
      </rPr>
      <t xml:space="preserve">Hiring </t>
    </r>
    <r>
      <rPr>
        <sz val="11"/>
        <color rgb="FF000000"/>
        <rFont val="Arial"/>
        <family val="2"/>
        <charset val="238"/>
      </rPr>
      <t xml:space="preserve">Michálek, Hlavsa, Vrzáň
</t>
    </r>
    <r>
      <rPr>
        <b/>
        <sz val="11"/>
        <color rgb="FF000000"/>
        <rFont val="Arial"/>
        <family val="2"/>
        <charset val="238"/>
      </rPr>
      <t xml:space="preserve">Hired </t>
    </r>
    <r>
      <rPr>
        <sz val="11"/>
        <color rgb="FF000000"/>
        <rFont val="Arial"/>
        <family val="2"/>
        <charset val="238"/>
      </rPr>
      <t xml:space="preserve">Pavlišinec (21.2.), Paseka (1.4.), Ruisl (5.5)
</t>
    </r>
    <r>
      <rPr>
        <b/>
        <sz val="11"/>
        <color rgb="FF000000"/>
        <rFont val="Arial"/>
        <family val="2"/>
        <charset val="238"/>
      </rPr>
      <t xml:space="preserve">No after 2nd </t>
    </r>
    <r>
      <rPr>
        <sz val="11"/>
        <color rgb="FF000000"/>
        <rFont val="Arial"/>
        <family val="2"/>
        <charset val="238"/>
      </rPr>
      <t xml:space="preserve">Richter, Ščuka, Kodaši
</t>
    </r>
    <r>
      <rPr>
        <b/>
        <sz val="11"/>
        <color rgb="FF000000"/>
        <rFont val="Arial"/>
        <family val="2"/>
        <charset val="238"/>
      </rPr>
      <t xml:space="preserve">Not interested </t>
    </r>
    <r>
      <rPr>
        <sz val="11"/>
        <color rgb="FF000000"/>
        <rFont val="Arial"/>
        <family val="2"/>
        <charset val="238"/>
      </rPr>
      <t xml:space="preserve">Carducci, Bajgar, Čaniga, Vašek, Frojda, Pecha
</t>
    </r>
    <r>
      <rPr>
        <b/>
        <sz val="11"/>
        <color rgb="FF000000"/>
        <rFont val="Arial"/>
        <family val="2"/>
        <charset val="238"/>
      </rPr>
      <t xml:space="preserve">Refused </t>
    </r>
    <r>
      <rPr>
        <sz val="11"/>
        <color rgb="FF000000"/>
        <rFont val="Arial"/>
        <family val="2"/>
        <charset val="238"/>
      </rPr>
      <t xml:space="preserve">Hrnčirík
</t>
    </r>
    <r>
      <rPr>
        <b/>
        <sz val="11"/>
        <color rgb="FF000000"/>
        <rFont val="Arial"/>
        <family val="2"/>
        <charset val="238"/>
      </rPr>
      <t xml:space="preserve">Didn't come </t>
    </r>
    <r>
      <rPr>
        <sz val="11"/>
        <color rgb="FF000000"/>
        <rFont val="Arial"/>
        <family val="2"/>
        <charset val="238"/>
      </rPr>
      <t xml:space="preserve">Zátopek, Martinek, Kondal </t>
    </r>
  </si>
  <si>
    <t>RPL (Dostál)</t>
  </si>
  <si>
    <t>Salesman - Pardubice</t>
  </si>
  <si>
    <t>RPL  (Nevečeřal IM)</t>
  </si>
  <si>
    <t>Customer Service Specialist - Pardubice</t>
  </si>
  <si>
    <t>AAA, práce.cz, jobs.cz, inwork, dobraprace, jobdnes</t>
  </si>
  <si>
    <t>To 2nd: Janečková (10.6.)</t>
  </si>
  <si>
    <t>RPL (Šrámek)</t>
  </si>
  <si>
    <t>Customer Service Specialist - Otrokovice</t>
  </si>
  <si>
    <r>
      <t xml:space="preserve">checking CVs
No after phonescreen </t>
    </r>
    <r>
      <rPr>
        <sz val="12"/>
        <color rgb="FF000000"/>
        <rFont val="Arial"/>
        <family val="2"/>
        <charset val="238"/>
      </rPr>
      <t>Černičková</t>
    </r>
    <r>
      <rPr>
        <b/>
        <sz val="12"/>
        <color rgb="FF000000"/>
        <rFont val="Arial"/>
        <family val="2"/>
        <charset val="238"/>
      </rPr>
      <t xml:space="preserve">
</t>
    </r>
  </si>
  <si>
    <t>RPL (potentional Čermák)</t>
  </si>
  <si>
    <t>Helper - Otrokovice</t>
  </si>
  <si>
    <r>
      <rPr>
        <b/>
        <sz val="12"/>
        <color rgb="FF000000"/>
        <rFont val="Arial"/>
        <family val="2"/>
        <charset val="238"/>
      </rPr>
      <t xml:space="preserve">Checking CV's
Hired </t>
    </r>
    <r>
      <rPr>
        <sz val="12"/>
        <color rgb="FF000000"/>
        <rFont val="Arial"/>
        <family val="2"/>
        <charset val="238"/>
      </rPr>
      <t xml:space="preserve">Musílek (16.5)
</t>
    </r>
    <r>
      <rPr>
        <b/>
        <sz val="12"/>
        <color rgb="FF000000"/>
        <rFont val="Arial"/>
        <family val="2"/>
        <charset val="238"/>
      </rPr>
      <t xml:space="preserve">No after 2nd </t>
    </r>
    <r>
      <rPr>
        <sz val="12"/>
        <color rgb="FF000000"/>
        <rFont val="Arial"/>
        <family val="2"/>
        <charset val="238"/>
      </rPr>
      <t xml:space="preserve">Simon, Lukavský
</t>
    </r>
    <r>
      <rPr>
        <b/>
        <sz val="12"/>
        <color rgb="FF000000"/>
        <rFont val="Arial"/>
        <family val="2"/>
        <charset val="238"/>
      </rPr>
      <t xml:space="preserve">Didn't come </t>
    </r>
    <r>
      <rPr>
        <sz val="12"/>
        <color rgb="FF000000"/>
        <rFont val="Arial"/>
        <family val="2"/>
        <charset val="238"/>
      </rPr>
      <t>Ondrášech</t>
    </r>
  </si>
  <si>
    <t>RPL (Slováčková)</t>
  </si>
  <si>
    <t>Office Cleaner - Otrokovice</t>
  </si>
  <si>
    <r>
      <rPr>
        <b/>
        <sz val="12"/>
        <color rgb="FF000000"/>
        <rFont val="Arial"/>
        <family val="2"/>
        <charset val="238"/>
      </rPr>
      <t xml:space="preserve">No after psc </t>
    </r>
    <r>
      <rPr>
        <sz val="12"/>
        <color rgb="FF000000"/>
        <rFont val="Arial"/>
        <family val="2"/>
        <charset val="238"/>
      </rPr>
      <t>Vorlíčková</t>
    </r>
  </si>
  <si>
    <t>Date</t>
  </si>
  <si>
    <t>Total VAC</t>
  </si>
  <si>
    <t>Podrobnosti pro Vacancies – Division: 05_Car Purchase</t>
  </si>
  <si>
    <t>Place</t>
  </si>
  <si>
    <t>Date of opening</t>
  </si>
  <si>
    <t>Time to fill</t>
  </si>
  <si>
    <t>Jihlava (Třebíč)</t>
  </si>
  <si>
    <t>Test driver - Jihlava (Třebíč)</t>
  </si>
  <si>
    <t>Kája</t>
  </si>
  <si>
    <t>AAA, párce.cz, párce za rohem, jobdnes</t>
  </si>
  <si>
    <t>Refused offer: Kašpar, Hired: Svoboda (10.11.)
For 2nd: Richtr, Kašpar, Láník (6.11.)
Checking CVs</t>
  </si>
  <si>
    <t xml:space="preserve">Brno </t>
  </si>
  <si>
    <t xml:space="preserve">Test driver - Brno </t>
  </si>
  <si>
    <t>AAA, prace.cz, pracezarohem, jobdnes</t>
  </si>
  <si>
    <t>To 2nd: Baláž  (18.11.), to 2nd: Miksa, Žákovský (waiting for term)</t>
  </si>
  <si>
    <t xml:space="preserve">RPL (IM) </t>
  </si>
  <si>
    <t>AAA, párce.cz, práce za rohem, jobdnes</t>
  </si>
  <si>
    <t>Checking CVs
(IM - Jaroš, Ondrůšek)</t>
  </si>
  <si>
    <t>RPL (Kilián)</t>
  </si>
  <si>
    <t>Čestlice/Příbram</t>
  </si>
  <si>
    <t>new
1x  IM (F.Hořínek ze Sokolova)</t>
  </si>
  <si>
    <t>RPL(fill cap)</t>
  </si>
  <si>
    <t>Mobile Buying- České Budějovice</t>
  </si>
  <si>
    <t>25000+%</t>
  </si>
  <si>
    <t>AAA, práce.cz, jobs.cz, dobraprace, volnamista, jobdnes, pracezarohem</t>
  </si>
  <si>
    <t xml:space="preserve">Checking CVs
No after 1st: Chlan </t>
  </si>
  <si>
    <t>(RPL Vargová - IM)</t>
  </si>
  <si>
    <t>Segment Buying</t>
  </si>
  <si>
    <t>Tomáš Preus</t>
  </si>
  <si>
    <t>Recommended</t>
  </si>
  <si>
    <t xml:space="preserve">rejected offer Videnková, After 1st </t>
  </si>
  <si>
    <t>RPL (Lukáš Vodák)</t>
  </si>
  <si>
    <t>For 2nd: Jungman (13.11.)
Last h:  Kříž Michal (1.10.),  Dominik Burr (1.10.), Tejnický (2. 6.),Griessl (5.5.), Osagiede (1. 4.), Rudiš (3.3.)
No after 2nd: Horák
Ref.off: Vitouš</t>
  </si>
  <si>
    <t>RPL / NEW</t>
  </si>
  <si>
    <t>Comment</t>
  </si>
  <si>
    <t>Prague HQ / BO</t>
  </si>
  <si>
    <t>fill cap</t>
  </si>
  <si>
    <t>Call Centre</t>
  </si>
  <si>
    <t>22 500 + 0 - 7 500 (GB 1. a 2. měsíc, 3.+ %)</t>
  </si>
  <si>
    <r>
      <rPr>
        <b/>
        <sz val="14"/>
        <color rgb="FF000000"/>
        <rFont val="Calibri"/>
      </rPr>
      <t>Hired:</t>
    </r>
    <r>
      <rPr>
        <sz val="14"/>
        <color rgb="FF000000"/>
        <rFont val="Calibri"/>
      </rPr>
      <t xml:space="preserve"> Bandurová, Jurek (16. 2.), 
Hiring: Horáková, Malíková (2.3.)
No: Baláž</t>
    </r>
  </si>
  <si>
    <t>Franková</t>
  </si>
  <si>
    <t>22 500 + 0 - 12 500 (1.+2. měsíc)
22 500 + % (od 3. měsíce)</t>
  </si>
  <si>
    <t>AAA, práce za rohem, práce.cz</t>
  </si>
  <si>
    <r>
      <rPr>
        <b/>
        <sz val="14"/>
        <color rgb="FF000000"/>
        <rFont val="Calibri"/>
        <scheme val="minor"/>
      </rPr>
      <t xml:space="preserve">Hired: </t>
    </r>
    <r>
      <rPr>
        <sz val="14"/>
        <color rgb="FF000000"/>
        <rFont val="Calibri"/>
        <scheme val="minor"/>
      </rPr>
      <t xml:space="preserve">Bino, Jusko (2.3.)
</t>
    </r>
    <r>
      <rPr>
        <b/>
        <sz val="14"/>
        <color rgb="FF000000"/>
        <rFont val="Calibri"/>
        <scheme val="minor"/>
      </rPr>
      <t>Semecká- long term sickness</t>
    </r>
  </si>
  <si>
    <t>Roubal</t>
  </si>
  <si>
    <r>
      <rPr>
        <b/>
        <sz val="14"/>
        <color rgb="FF000000"/>
        <rFont val="Calibri"/>
      </rPr>
      <t xml:space="preserve">Checking CVs
Hired </t>
    </r>
    <r>
      <rPr>
        <sz val="14"/>
        <color rgb="FF000000"/>
        <rFont val="Calibri"/>
      </rPr>
      <t>Roubal (4.11.), Hensl (2.2.)</t>
    </r>
  </si>
  <si>
    <t>Mechanic / České Budějovice</t>
  </si>
  <si>
    <r>
      <rPr>
        <b/>
        <sz val="14"/>
        <color rgb="FF000000"/>
        <rFont val="Calibri"/>
        <scheme val="minor"/>
      </rPr>
      <t xml:space="preserve">IM </t>
    </r>
    <r>
      <rPr>
        <sz val="14"/>
        <color rgb="FF000000"/>
        <rFont val="Calibri"/>
        <scheme val="minor"/>
      </rPr>
      <t>Setikovský (1.3.)</t>
    </r>
  </si>
  <si>
    <t>Daněk</t>
  </si>
  <si>
    <t xml:space="preserve">new RQ
</t>
  </si>
  <si>
    <t>Mikula</t>
  </si>
  <si>
    <t>Mechanic / Kladno</t>
  </si>
  <si>
    <t>Kaštánek</t>
  </si>
  <si>
    <t>10_Office Operations</t>
  </si>
  <si>
    <t>Facility &amp; Constuction</t>
  </si>
  <si>
    <t>Serviceman</t>
  </si>
  <si>
    <t>30 000 + 0 - 8 000 KPI</t>
  </si>
  <si>
    <t>Petr Rinda</t>
  </si>
  <si>
    <t xml:space="preserve">hiring: Chalupecký (2.3.), refused offer: Babka
</t>
  </si>
  <si>
    <t>Boušková</t>
  </si>
  <si>
    <t>Warehouse &amp; Archive</t>
  </si>
  <si>
    <t>Stockkeeper</t>
  </si>
  <si>
    <t>30 000 + 0 - 9 000 KPI</t>
  </si>
  <si>
    <t>Ludvík Zawora</t>
  </si>
  <si>
    <t xml:space="preserve"> AAA, práce cz, pracezarohem, inwork</t>
  </si>
  <si>
    <t xml:space="preserve">checking CVs
</t>
  </si>
  <si>
    <t>Bartková/Varyš</t>
  </si>
  <si>
    <t>22_Cost Control &amp; Back Office</t>
  </si>
  <si>
    <t>Cost Controlling &amp; Procurement</t>
  </si>
  <si>
    <t>Procurement Specialist</t>
  </si>
  <si>
    <t>43 000 + 0 - 10 000 KPI</t>
  </si>
  <si>
    <t>Michaela Kosinerová</t>
  </si>
  <si>
    <t>plánovaný IM</t>
  </si>
  <si>
    <t>fill cap, Šebánek, Černý</t>
  </si>
  <si>
    <t xml:space="preserve">176542
</t>
  </si>
  <si>
    <t>Stock</t>
  </si>
  <si>
    <t>Stock Controller - Praha</t>
  </si>
  <si>
    <t>25 000 + 0 - 25 000 KPI</t>
  </si>
  <si>
    <r>
      <rPr>
        <b/>
        <sz val="14"/>
        <color rgb="FF000000"/>
        <rFont val="Calibri"/>
        <scheme val="minor"/>
      </rPr>
      <t>Hiring</t>
    </r>
    <r>
      <rPr>
        <sz val="14"/>
        <color rgb="FF000000"/>
        <rFont val="Calibri"/>
        <scheme val="minor"/>
      </rPr>
      <t xml:space="preserve"> Švarc
</t>
    </r>
    <r>
      <rPr>
        <b/>
        <sz val="14"/>
        <color rgb="FF000000"/>
        <rFont val="Calibri"/>
        <scheme val="minor"/>
      </rPr>
      <t xml:space="preserve">After 2nd </t>
    </r>
    <r>
      <rPr>
        <sz val="14"/>
        <color rgb="FF000000"/>
        <rFont val="Calibri"/>
        <scheme val="minor"/>
      </rPr>
      <t xml:space="preserve">Butora, Cimburek
</t>
    </r>
    <r>
      <rPr>
        <b/>
        <sz val="14"/>
        <color rgb="FF000000"/>
        <rFont val="Calibri"/>
        <scheme val="minor"/>
      </rPr>
      <t xml:space="preserve">No Afier 2nd </t>
    </r>
    <r>
      <rPr>
        <sz val="14"/>
        <color rgb="FF000000"/>
        <rFont val="Calibri"/>
        <scheme val="minor"/>
      </rPr>
      <t xml:space="preserve">Nouzák, Kolomazník
</t>
    </r>
    <r>
      <rPr>
        <b/>
        <sz val="14"/>
        <color rgb="FF000000"/>
        <rFont val="Calibri"/>
        <scheme val="minor"/>
      </rPr>
      <t xml:space="preserve">Refused practise day </t>
    </r>
    <r>
      <rPr>
        <sz val="14"/>
        <color rgb="FF000000"/>
        <rFont val="Calibri"/>
        <scheme val="minor"/>
      </rPr>
      <t xml:space="preserve">Kulhánek 
</t>
    </r>
    <r>
      <rPr>
        <b/>
        <sz val="14"/>
        <color rgb="FF000000"/>
        <rFont val="Calibri"/>
        <scheme val="minor"/>
      </rPr>
      <t xml:space="preserve">Checking CV
</t>
    </r>
  </si>
  <si>
    <t>Stock Controller - Liberec</t>
  </si>
  <si>
    <r>
      <rPr>
        <b/>
        <sz val="14"/>
        <color rgb="FF000000"/>
        <rFont val="Calibri"/>
      </rPr>
      <t>Hiring</t>
    </r>
    <r>
      <rPr>
        <sz val="14"/>
        <color rgb="FF000000"/>
        <rFont val="Calibri"/>
      </rPr>
      <t xml:space="preserve"> Saska (23.3.)
</t>
    </r>
    <r>
      <rPr>
        <b/>
        <sz val="14"/>
        <color rgb="FF000000"/>
        <rFont val="Calibri"/>
      </rPr>
      <t>No after 2nd</t>
    </r>
    <r>
      <rPr>
        <sz val="14"/>
        <color rgb="FF000000"/>
        <rFont val="Calibri"/>
      </rPr>
      <t xml:space="preserve"> Rejman
</t>
    </r>
    <r>
      <rPr>
        <b/>
        <sz val="14"/>
        <color rgb="FF000000"/>
        <rFont val="Calibri"/>
      </rPr>
      <t xml:space="preserve">Checking CV
</t>
    </r>
  </si>
  <si>
    <t>Setikovský</t>
  </si>
  <si>
    <t>Stock Controller - České Budějovice</t>
  </si>
  <si>
    <r>
      <rPr>
        <b/>
        <sz val="14"/>
        <color rgb="FF000000"/>
        <rFont val="Calibri"/>
        <scheme val="minor"/>
      </rPr>
      <t xml:space="preserve">Hiring </t>
    </r>
    <r>
      <rPr>
        <sz val="14"/>
        <color rgb="FF000000"/>
        <rFont val="Calibri"/>
        <scheme val="minor"/>
      </rPr>
      <t xml:space="preserve">Rotšédl (1.4.) 
</t>
    </r>
    <r>
      <rPr>
        <b/>
        <sz val="14"/>
        <color rgb="FF000000"/>
        <rFont val="Calibri"/>
        <scheme val="minor"/>
      </rPr>
      <t>No after 2nd</t>
    </r>
    <r>
      <rPr>
        <sz val="14"/>
        <color rgb="FF000000"/>
        <rFont val="Calibri"/>
        <scheme val="minor"/>
      </rPr>
      <t xml:space="preserve"> Fomín 
</t>
    </r>
    <r>
      <rPr>
        <b/>
        <sz val="14"/>
        <color rgb="FF000000"/>
        <rFont val="Calibri"/>
        <scheme val="minor"/>
      </rPr>
      <t>Checking CVs</t>
    </r>
  </si>
  <si>
    <t>Courier DPP - Kladno</t>
  </si>
  <si>
    <t>140,-Kč//hod</t>
  </si>
  <si>
    <t>Jan Zvikl</t>
  </si>
  <si>
    <t>Checking CVs
new request</t>
  </si>
  <si>
    <t>140,-Kč/hod.</t>
  </si>
  <si>
    <t>Checking CVs/new request</t>
  </si>
  <si>
    <t>Bryňák LTS, Kostiuk, Zlúky</t>
  </si>
  <si>
    <t>Logistics</t>
  </si>
  <si>
    <t>Tow Truck Driver - Praha</t>
  </si>
  <si>
    <t>25 000 + 0 - 15 000 OSOH + 0 - 15 000 VB</t>
  </si>
  <si>
    <t>Alexandr Jordanov</t>
  </si>
  <si>
    <r>
      <rPr>
        <b/>
        <sz val="14"/>
        <color rgb="FF000000"/>
        <rFont val="Calibri"/>
        <scheme val="minor"/>
      </rPr>
      <t>Hring: Hranáč (3.3)
Hired:</t>
    </r>
    <r>
      <rPr>
        <sz val="14"/>
        <color rgb="FF000000"/>
        <rFont val="Calibri"/>
        <scheme val="minor"/>
      </rPr>
      <t xml:space="preserve"> Zlúky (1.12)Ludvik(17.2)
</t>
    </r>
    <r>
      <rPr>
        <b/>
        <sz val="14"/>
        <color rgb="FF000000"/>
        <rFont val="Calibri"/>
        <scheme val="minor"/>
      </rPr>
      <t>For 1st:</t>
    </r>
    <r>
      <rPr>
        <sz val="14"/>
        <color rgb="FF000000"/>
        <rFont val="Calibri"/>
        <scheme val="minor"/>
      </rPr>
      <t xml:space="preserve">Liška(19.2)
</t>
    </r>
    <r>
      <rPr>
        <b/>
        <sz val="14"/>
        <color rgb="FF000000"/>
        <rFont val="Calibri"/>
        <scheme val="minor"/>
      </rPr>
      <t>For2nd:</t>
    </r>
    <r>
      <rPr>
        <sz val="14"/>
        <color rgb="FF000000"/>
        <rFont val="Calibri"/>
        <scheme val="minor"/>
      </rPr>
      <t xml:space="preserve"> Hranáč(30.1)
</t>
    </r>
    <r>
      <rPr>
        <b/>
        <sz val="14"/>
        <color rgb="FF000000"/>
        <rFont val="Calibri"/>
        <scheme val="minor"/>
      </rPr>
      <t>Refused offer:</t>
    </r>
    <r>
      <rPr>
        <sz val="14"/>
        <color rgb="FF000000"/>
        <rFont val="Calibri"/>
        <scheme val="minor"/>
      </rPr>
      <t xml:space="preserve">Jirovec, Brudny, Bartoň
</t>
    </r>
    <r>
      <rPr>
        <b/>
        <sz val="14"/>
        <color rgb="FF000000"/>
        <rFont val="Calibri"/>
        <scheme val="minor"/>
      </rPr>
      <t>Dindnt comme:</t>
    </r>
    <r>
      <rPr>
        <sz val="14"/>
        <color rgb="FF000000"/>
        <rFont val="Calibri"/>
        <scheme val="minor"/>
      </rPr>
      <t xml:space="preserve"> Macháček(13.10), Chromec</t>
    </r>
  </si>
  <si>
    <t>Klejzar</t>
  </si>
  <si>
    <t>Customer Care Technician</t>
  </si>
  <si>
    <t>35 000 + 0 - 11 000 KPI</t>
  </si>
  <si>
    <r>
      <rPr>
        <b/>
        <sz val="14"/>
        <color rgb="FF000000"/>
        <rFont val="Calibri"/>
        <scheme val="minor"/>
      </rPr>
      <t xml:space="preserve">Hiring </t>
    </r>
    <r>
      <rPr>
        <sz val="14"/>
        <color rgb="FF000000"/>
        <rFont val="Calibri"/>
        <scheme val="minor"/>
      </rPr>
      <t xml:space="preserve">Vojta
</t>
    </r>
    <r>
      <rPr>
        <b/>
        <sz val="14"/>
        <color rgb="FF000000"/>
        <rFont val="Calibri"/>
        <scheme val="minor"/>
      </rPr>
      <t xml:space="preserve">No after 2nd </t>
    </r>
    <r>
      <rPr>
        <sz val="14"/>
        <color rgb="FF000000"/>
        <rFont val="Calibri"/>
        <scheme val="minor"/>
      </rPr>
      <t xml:space="preserve">Mašek
</t>
    </r>
    <r>
      <rPr>
        <b/>
        <sz val="14"/>
        <color rgb="FF000000"/>
        <rFont val="Calibri"/>
        <scheme val="minor"/>
      </rPr>
      <t>Checking CVs</t>
    </r>
  </si>
  <si>
    <t>Mobile Buying- Praha</t>
  </si>
  <si>
    <r>
      <rPr>
        <b/>
        <sz val="14"/>
        <color rgb="FF000000"/>
        <rFont val="Calibri"/>
      </rPr>
      <t xml:space="preserve">For 1nd: </t>
    </r>
    <r>
      <rPr>
        <sz val="14"/>
        <color rgb="FF000000"/>
        <rFont val="Calibri"/>
      </rPr>
      <t xml:space="preserve">Kredba, Palyutin(10.2)
</t>
    </r>
    <r>
      <rPr>
        <b/>
        <sz val="14"/>
        <color rgb="FF000000"/>
        <rFont val="Calibri"/>
      </rPr>
      <t>After1st</t>
    </r>
    <r>
      <rPr>
        <sz val="14"/>
        <color rgb="FF000000"/>
        <rFont val="Calibri"/>
      </rPr>
      <t xml:space="preserve">: Kredba, Palyutin(not suitable)
</t>
    </r>
    <r>
      <rPr>
        <b/>
        <sz val="14"/>
        <color rgb="FF000000"/>
        <rFont val="Calibri"/>
      </rPr>
      <t xml:space="preserve">Refused offer: </t>
    </r>
    <r>
      <rPr>
        <sz val="14"/>
        <color rgb="FF000000"/>
        <rFont val="Calibri"/>
      </rPr>
      <t>Žižkovský</t>
    </r>
  </si>
  <si>
    <t>Dobeš</t>
  </si>
  <si>
    <t>Mobile Buying- Ostrava</t>
  </si>
  <si>
    <t>Filip Lukašek</t>
  </si>
  <si>
    <r>
      <rPr>
        <b/>
        <sz val="14"/>
        <color rgb="FF000000"/>
        <rFont val="Calibri"/>
      </rPr>
      <t>After1st:</t>
    </r>
    <r>
      <rPr>
        <sz val="14"/>
        <color rgb="FF000000"/>
        <rFont val="Calibri"/>
      </rPr>
      <t>Turay(not suitable)</t>
    </r>
  </si>
  <si>
    <t>Zvěřinová</t>
  </si>
  <si>
    <t>Mobile Buying Dispatcher Praha</t>
  </si>
  <si>
    <t>Ondřej Holub</t>
  </si>
  <si>
    <t>Checking CVs/ new request</t>
  </si>
  <si>
    <t>Mototechna</t>
  </si>
  <si>
    <t>Zličín</t>
  </si>
  <si>
    <t>OPS (Part Time)</t>
  </si>
  <si>
    <t>Driver - Zličín</t>
  </si>
  <si>
    <t>140 kč/Hod</t>
  </si>
  <si>
    <r>
      <t>Hired</t>
    </r>
    <r>
      <rPr>
        <sz val="14"/>
        <color rgb="FF000000"/>
        <rFont val="Calibri"/>
        <family val="2"/>
        <charset val="238"/>
      </rPr>
      <t xml:space="preserve">: Kočí (4.2), Blažka (4.2)
</t>
    </r>
    <r>
      <rPr>
        <b/>
        <sz val="14"/>
        <color rgb="FF000000"/>
        <rFont val="Calibri"/>
        <family val="2"/>
        <charset val="238"/>
      </rPr>
      <t>For 2nd:</t>
    </r>
    <r>
      <rPr>
        <sz val="14"/>
        <color rgb="FF000000"/>
        <rFont val="Calibri"/>
        <family val="2"/>
        <charset val="238"/>
      </rPr>
      <t xml:space="preserve"> Václavík (odloženo pro nemoc)</t>
    </r>
    <r>
      <rPr>
        <b/>
        <sz val="14"/>
        <color rgb="FF000000"/>
        <rFont val="Calibri"/>
        <family val="2"/>
        <charset val="238"/>
      </rPr>
      <t xml:space="preserve">
</t>
    </r>
  </si>
  <si>
    <t>Prague Branch</t>
  </si>
  <si>
    <t>Dunda, Uher, fill cap</t>
  </si>
  <si>
    <t>177091
178380
178368
180222
180494</t>
  </si>
  <si>
    <t>Sales</t>
  </si>
  <si>
    <t>25.000 + %</t>
  </si>
  <si>
    <t>AAA, práce, inwork</t>
  </si>
  <si>
    <r>
      <t xml:space="preserve">For 2nd 2x
Hired 16.2. </t>
    </r>
    <r>
      <rPr>
        <sz val="14"/>
        <color rgb="FF000000"/>
        <rFont val="Calibri"/>
        <scheme val="minor"/>
      </rPr>
      <t xml:space="preserve">Drahokoupil, </t>
    </r>
    <r>
      <rPr>
        <b/>
        <sz val="14"/>
        <color rgb="FF000000"/>
        <rFont val="Calibri"/>
        <scheme val="minor"/>
      </rPr>
      <t xml:space="preserve">19.2. </t>
    </r>
    <r>
      <rPr>
        <sz val="14"/>
        <color rgb="FF000000"/>
        <rFont val="Calibri"/>
        <scheme val="minor"/>
      </rPr>
      <t xml:space="preserve">Humeník </t>
    </r>
    <r>
      <rPr>
        <b/>
        <sz val="14"/>
        <color rgb="FF000000"/>
        <rFont val="Calibri"/>
        <scheme val="minor"/>
      </rPr>
      <t xml:space="preserve">2.3. </t>
    </r>
    <r>
      <rPr>
        <sz val="14"/>
        <color rgb="FF000000"/>
        <rFont val="Calibri"/>
        <scheme val="minor"/>
      </rPr>
      <t xml:space="preserve">Kótai
</t>
    </r>
    <r>
      <rPr>
        <b/>
        <sz val="14"/>
        <color rgb="FF000000"/>
        <rFont val="Calibri"/>
        <scheme val="minor"/>
      </rPr>
      <t xml:space="preserve">Hired 12.1. </t>
    </r>
    <r>
      <rPr>
        <sz val="14"/>
        <color rgb="FF000000"/>
        <rFont val="Calibri"/>
        <scheme val="minor"/>
      </rPr>
      <t xml:space="preserve">Kamršek
</t>
    </r>
    <r>
      <rPr>
        <b/>
        <sz val="14"/>
        <color rgb="FF000000"/>
        <rFont val="Calibri"/>
        <scheme val="minor"/>
      </rPr>
      <t xml:space="preserve">Hired for assistant 8.2. </t>
    </r>
    <r>
      <rPr>
        <sz val="14"/>
        <color rgb="FF000000"/>
        <rFont val="Calibri"/>
        <scheme val="minor"/>
      </rPr>
      <t xml:space="preserve">Dlabal
</t>
    </r>
    <r>
      <rPr>
        <b/>
        <sz val="14"/>
        <color rgb="FF000000"/>
        <rFont val="Calibri"/>
        <scheme val="minor"/>
      </rPr>
      <t xml:space="preserve">Refused offer </t>
    </r>
    <r>
      <rPr>
        <sz val="14"/>
        <color rgb="FF000000"/>
        <rFont val="Calibri"/>
        <scheme val="minor"/>
      </rPr>
      <t xml:space="preserve">Kohák, Andrle
</t>
    </r>
    <r>
      <rPr>
        <b/>
        <sz val="14"/>
        <color rgb="FF000000"/>
        <rFont val="Calibri"/>
        <scheme val="minor"/>
      </rPr>
      <t>No after 2nd 19</t>
    </r>
    <r>
      <rPr>
        <sz val="14"/>
        <color rgb="FF000000"/>
        <rFont val="Calibri"/>
        <scheme val="minor"/>
      </rPr>
      <t>x</t>
    </r>
  </si>
  <si>
    <t>Král Josef</t>
  </si>
  <si>
    <t>Test driver - Praha</t>
  </si>
  <si>
    <t>25 000 + 0 - 15 000</t>
  </si>
  <si>
    <r>
      <rPr>
        <b/>
        <sz val="14"/>
        <color rgb="FF000000"/>
        <rFont val="Calibri"/>
        <scheme val="minor"/>
      </rPr>
      <t xml:space="preserve">
Hiring </t>
    </r>
    <r>
      <rPr>
        <sz val="14"/>
        <color rgb="FF000000"/>
        <rFont val="Calibri"/>
        <scheme val="minor"/>
      </rPr>
      <t xml:space="preserve">Várady
</t>
    </r>
    <r>
      <rPr>
        <b/>
        <sz val="14"/>
        <color rgb="FF000000"/>
        <rFont val="Calibri"/>
        <scheme val="minor"/>
      </rPr>
      <t xml:space="preserve">Hired </t>
    </r>
    <r>
      <rPr>
        <sz val="14"/>
        <color rgb="FF000000"/>
        <rFont val="Calibri"/>
        <scheme val="minor"/>
      </rPr>
      <t xml:space="preserve">Macháček (2.2.)
</t>
    </r>
    <r>
      <rPr>
        <b/>
        <sz val="14"/>
        <color rgb="FF000000"/>
        <rFont val="Calibri"/>
        <scheme val="minor"/>
      </rPr>
      <t>No after 2nd</t>
    </r>
    <r>
      <rPr>
        <sz val="14"/>
        <color rgb="FF000000"/>
        <rFont val="Calibri"/>
        <scheme val="minor"/>
      </rPr>
      <t xml:space="preserve"> Urban , Brož, Hubený
</t>
    </r>
    <r>
      <rPr>
        <b/>
        <sz val="14"/>
        <color rgb="FF000000"/>
        <rFont val="Calibri"/>
        <scheme val="minor"/>
      </rPr>
      <t xml:space="preserve">Checking CV
</t>
    </r>
  </si>
  <si>
    <t>Pricing CZ/SK/PL</t>
  </si>
  <si>
    <t>30 000 + 15 000</t>
  </si>
  <si>
    <r>
      <rPr>
        <b/>
        <sz val="14"/>
        <color rgb="FF000000"/>
        <rFont val="Calibri"/>
      </rPr>
      <t xml:space="preserve">For1st: </t>
    </r>
    <r>
      <rPr>
        <sz val="14"/>
        <color rgb="FF000000"/>
        <rFont val="Calibri"/>
      </rPr>
      <t xml:space="preserve">Hejduk (4.3)
</t>
    </r>
    <r>
      <rPr>
        <b/>
        <sz val="14"/>
        <color rgb="FF000000"/>
        <rFont val="Calibri"/>
      </rPr>
      <t xml:space="preserve">for 2nd int.: </t>
    </r>
    <r>
      <rPr>
        <sz val="14"/>
        <color rgb="FF000000"/>
        <rFont val="Calibri"/>
      </rPr>
      <t xml:space="preserve">Kunst (25.2.)
</t>
    </r>
    <r>
      <rPr>
        <b/>
        <sz val="14"/>
        <color rgb="FF000000"/>
        <rFont val="Calibri"/>
      </rPr>
      <t xml:space="preserve">No: </t>
    </r>
    <r>
      <rPr>
        <sz val="14"/>
        <color rgb="FF000000"/>
        <rFont val="Calibri"/>
      </rPr>
      <t>Dědek, Soustružník, Hlaváčková, Sivák, Bača</t>
    </r>
  </si>
  <si>
    <t>Šimonová</t>
  </si>
  <si>
    <t>25 000 + 10 000</t>
  </si>
  <si>
    <r>
      <rPr>
        <b/>
        <sz val="14"/>
        <color rgb="FF000000"/>
        <rFont val="Calibri"/>
        <scheme val="minor"/>
      </rPr>
      <t xml:space="preserve">Hiring </t>
    </r>
    <r>
      <rPr>
        <sz val="14"/>
        <color rgb="FF000000"/>
        <rFont val="Calibri"/>
        <scheme val="minor"/>
      </rPr>
      <t xml:space="preserve">Lisová (9.3.)
</t>
    </r>
    <r>
      <rPr>
        <b/>
        <sz val="14"/>
        <color rgb="FF000000"/>
        <rFont val="Calibri"/>
        <scheme val="minor"/>
      </rPr>
      <t>Checking CVs</t>
    </r>
  </si>
  <si>
    <t>Tomáš Kaiser</t>
  </si>
  <si>
    <t>Helper - Praha</t>
  </si>
  <si>
    <t>28 000 + 0 - 8 000</t>
  </si>
  <si>
    <r>
      <rPr>
        <sz val="14"/>
        <color rgb="FF000000"/>
        <rFont val="Calibri"/>
      </rPr>
      <t xml:space="preserve">Roubal 1.2.
</t>
    </r>
    <r>
      <rPr>
        <b/>
        <sz val="14"/>
        <color rgb="FF000000"/>
        <rFont val="Calibri"/>
      </rPr>
      <t xml:space="preserve">No after 2nd: </t>
    </r>
    <r>
      <rPr>
        <sz val="14"/>
        <color rgb="FF000000"/>
        <rFont val="Calibri"/>
      </rPr>
      <t>Slavík 
Švankmajer, Svoboda, Shten, Kalinov</t>
    </r>
  </si>
  <si>
    <t>Jan Szabó</t>
  </si>
  <si>
    <t>Helper Boxy a Sonax - Praha</t>
  </si>
  <si>
    <r>
      <rPr>
        <b/>
        <sz val="14"/>
        <color rgb="FF000000"/>
        <rFont val="Calibri"/>
      </rPr>
      <t xml:space="preserve">Hired:  </t>
    </r>
    <r>
      <rPr>
        <sz val="14"/>
        <color rgb="FF000000"/>
        <rFont val="Calibri"/>
      </rPr>
      <t xml:space="preserve">Hangurbadžo (9.2.)
</t>
    </r>
    <r>
      <rPr>
        <b/>
        <sz val="14"/>
        <color rgb="FF000000"/>
        <rFont val="Calibri"/>
      </rPr>
      <t xml:space="preserve">Didnt come to the int: </t>
    </r>
    <r>
      <rPr>
        <sz val="14"/>
        <color rgb="FF000000"/>
        <rFont val="Calibri"/>
      </rPr>
      <t>Peteřík 22.1., Vokulič (22.1)</t>
    </r>
  </si>
  <si>
    <t>Čestlice</t>
  </si>
  <si>
    <t>Šoltys</t>
  </si>
  <si>
    <t>AAA, práce.cz, inwork, dobraprace</t>
  </si>
  <si>
    <r>
      <t xml:space="preserve">Hired 2.3. </t>
    </r>
    <r>
      <rPr>
        <sz val="14"/>
        <color rgb="FF000000"/>
        <rFont val="Calibri"/>
        <scheme val="minor"/>
      </rPr>
      <t xml:space="preserve">Radčuk
</t>
    </r>
    <r>
      <rPr>
        <b/>
        <sz val="14"/>
        <color rgb="FF000000"/>
        <rFont val="Calibri"/>
        <scheme val="minor"/>
      </rPr>
      <t xml:space="preserve">On hold </t>
    </r>
    <r>
      <rPr>
        <sz val="14"/>
        <color rgb="FF000000"/>
        <rFont val="Calibri"/>
        <scheme val="minor"/>
      </rPr>
      <t xml:space="preserve">Mládek
</t>
    </r>
    <r>
      <rPr>
        <b/>
        <sz val="14"/>
        <color rgb="FF000000"/>
        <rFont val="Calibri"/>
        <scheme val="minor"/>
      </rPr>
      <t xml:space="preserve">Stopped hiring </t>
    </r>
    <r>
      <rPr>
        <sz val="14"/>
        <color rgb="FF000000"/>
        <rFont val="Calibri"/>
        <scheme val="minor"/>
      </rPr>
      <t xml:space="preserve">Reppenberger
</t>
    </r>
    <r>
      <rPr>
        <b/>
        <sz val="14"/>
        <color rgb="FF000000"/>
        <rFont val="Calibri"/>
        <scheme val="minor"/>
      </rPr>
      <t>Checking CVs</t>
    </r>
  </si>
  <si>
    <t>Hořínek</t>
  </si>
  <si>
    <t>Test driver - Čestlice</t>
  </si>
  <si>
    <t>AAA, prace.cz, pracezarohem</t>
  </si>
  <si>
    <t>checking CVs</t>
  </si>
  <si>
    <t>Kilián</t>
  </si>
  <si>
    <t>Příbram</t>
  </si>
  <si>
    <t>Car Trader - Příbram</t>
  </si>
  <si>
    <t>28 000 + 0 - 22 000</t>
  </si>
  <si>
    <t>In process: ex empl., To 2nd: Strama, Hochmann (waiting for term), No after 2nd:  Říha, Niebauer, refused offer: Obdrdal, Vybíral
1x  IM (F.Hořínek ze Sokolova)</t>
  </si>
  <si>
    <t>DPP 2x</t>
  </si>
  <si>
    <t>Driver - Čestlice</t>
  </si>
  <si>
    <r>
      <t>Hired Hora (2.2.)
No resp.:</t>
    </r>
    <r>
      <rPr>
        <sz val="14"/>
        <color rgb="FF000000"/>
        <rFont val="Calibri"/>
        <family val="2"/>
        <charset val="238"/>
        <scheme val="minor"/>
      </rPr>
      <t xml:space="preserve"> Čech, Kameník</t>
    </r>
    <r>
      <rPr>
        <b/>
        <sz val="14"/>
        <color rgb="FF000000"/>
        <rFont val="Calibri"/>
        <family val="2"/>
        <charset val="238"/>
        <scheme val="minor"/>
      </rPr>
      <t xml:space="preserve">
</t>
    </r>
    <r>
      <rPr>
        <sz val="14"/>
        <color rgb="FF000000"/>
        <rFont val="Calibri"/>
        <family val="2"/>
        <charset val="238"/>
        <scheme val="minor"/>
      </rPr>
      <t>Vrbovec (17.10.)</t>
    </r>
    <r>
      <rPr>
        <b/>
        <sz val="14"/>
        <color rgb="FF000000"/>
        <rFont val="Calibri"/>
        <family val="2"/>
        <charset val="238"/>
        <scheme val="minor"/>
      </rPr>
      <t>,</t>
    </r>
  </si>
  <si>
    <t>Klecany</t>
  </si>
  <si>
    <t>Salesman - České Budějovice 2</t>
  </si>
  <si>
    <t>25 000 + %</t>
  </si>
  <si>
    <t>AAA, práce, pracezarohem</t>
  </si>
  <si>
    <r>
      <rPr>
        <b/>
        <sz val="14"/>
        <color rgb="FF000000"/>
        <rFont val="Calibri"/>
      </rPr>
      <t xml:space="preserve">
Hiring </t>
    </r>
    <r>
      <rPr>
        <sz val="14"/>
        <color rgb="FF000000"/>
        <rFont val="Calibri"/>
      </rPr>
      <t xml:space="preserve">Vašák (2.3.)
</t>
    </r>
    <r>
      <rPr>
        <b/>
        <sz val="14"/>
        <color rgb="FF000000"/>
        <rFont val="Calibri"/>
      </rPr>
      <t xml:space="preserve">Hired </t>
    </r>
    <r>
      <rPr>
        <sz val="14"/>
        <color rgb="FF000000"/>
        <rFont val="Calibri"/>
      </rPr>
      <t xml:space="preserve">Smutný (2.2.), Malý (16.2.)
</t>
    </r>
    <r>
      <rPr>
        <b/>
        <sz val="14"/>
        <color rgb="FF000000"/>
        <rFont val="Calibri"/>
      </rPr>
      <t>For 2nd</t>
    </r>
    <r>
      <rPr>
        <sz val="14"/>
        <color rgb="FF000000"/>
        <rFont val="Calibri"/>
      </rPr>
      <t xml:space="preserve"> Malý, Tyšler (next week)
</t>
    </r>
    <r>
      <rPr>
        <b/>
        <sz val="14"/>
        <color rgb="FF000000"/>
        <rFont val="Calibri"/>
      </rPr>
      <t>After 2nd</t>
    </r>
    <r>
      <rPr>
        <sz val="14"/>
        <color rgb="FF000000"/>
        <rFont val="Calibri"/>
      </rPr>
      <t xml:space="preserve"> Mužík, Volovenko
</t>
    </r>
    <r>
      <rPr>
        <b/>
        <sz val="14"/>
        <color rgb="FF000000"/>
        <rFont val="Calibri"/>
      </rPr>
      <t xml:space="preserve">Checking CV
</t>
    </r>
  </si>
  <si>
    <t>Tovačovský</t>
  </si>
  <si>
    <t>Andrea Habětínková</t>
  </si>
  <si>
    <r>
      <rPr>
        <b/>
        <sz val="14"/>
        <color rgb="FF000000"/>
        <rFont val="Calibri"/>
        <scheme val="minor"/>
      </rPr>
      <t xml:space="preserve">For 2nd </t>
    </r>
    <r>
      <rPr>
        <sz val="14"/>
        <color rgb="FF000000"/>
        <rFont val="Calibri"/>
        <scheme val="minor"/>
      </rPr>
      <t xml:space="preserve">Babic (next week)
</t>
    </r>
    <r>
      <rPr>
        <b/>
        <sz val="14"/>
        <color rgb="FF000000"/>
        <rFont val="Calibri"/>
        <scheme val="minor"/>
      </rPr>
      <t xml:space="preserve">Checking CV
</t>
    </r>
  </si>
  <si>
    <t>OPS</t>
  </si>
  <si>
    <t>Driver - České Budějovice</t>
  </si>
  <si>
    <t>140 kč/hod</t>
  </si>
  <si>
    <t>AAA, jobdnes, práce cz</t>
  </si>
  <si>
    <r>
      <rPr>
        <b/>
        <sz val="14"/>
        <color rgb="FF000000"/>
        <rFont val="Calibri"/>
      </rPr>
      <t xml:space="preserve">For 2nd: </t>
    </r>
    <r>
      <rPr>
        <sz val="14"/>
        <color rgb="FF000000"/>
        <rFont val="Calibri"/>
      </rPr>
      <t xml:space="preserve">Chmelař, Maxová
</t>
    </r>
    <r>
      <rPr>
        <b/>
        <sz val="14"/>
        <color rgb="FF000000"/>
        <rFont val="Calibri"/>
      </rPr>
      <t>Checking CV´s
Zadán RQ na navýšení capu (2x)</t>
    </r>
  </si>
  <si>
    <t>Synek</t>
  </si>
  <si>
    <t>Customer Service Specialist - Chomutov</t>
  </si>
  <si>
    <r>
      <rPr>
        <b/>
        <sz val="14"/>
        <color rgb="FF000000"/>
        <rFont val="Calibri"/>
        <scheme val="minor"/>
      </rPr>
      <t xml:space="preserve">For 2nd </t>
    </r>
    <r>
      <rPr>
        <sz val="14"/>
        <color rgb="FF000000"/>
        <rFont val="Calibri"/>
        <scheme val="minor"/>
      </rPr>
      <t xml:space="preserve">Šafránková (3.3.)
</t>
    </r>
    <r>
      <rPr>
        <b/>
        <sz val="14"/>
        <color rgb="FF000000"/>
        <rFont val="Calibri"/>
        <scheme val="minor"/>
      </rPr>
      <t>No after WT</t>
    </r>
    <r>
      <rPr>
        <sz val="14"/>
        <color rgb="FF000000"/>
        <rFont val="Calibri"/>
        <scheme val="minor"/>
      </rPr>
      <t xml:space="preserve"> Rojt 
</t>
    </r>
    <r>
      <rPr>
        <b/>
        <sz val="14"/>
        <color rgb="FF000000"/>
        <rFont val="Calibri"/>
        <scheme val="minor"/>
      </rPr>
      <t xml:space="preserve">Checking CV
</t>
    </r>
  </si>
  <si>
    <t>Rohan, Panovský</t>
  </si>
  <si>
    <t>Salesman - Chomutov</t>
  </si>
  <si>
    <r>
      <rPr>
        <b/>
        <sz val="14"/>
        <color rgb="FF000000"/>
        <rFont val="Calibri"/>
      </rPr>
      <t xml:space="preserve">
Hiring </t>
    </r>
    <r>
      <rPr>
        <sz val="14"/>
        <color rgb="FF000000"/>
        <rFont val="Calibri"/>
      </rPr>
      <t xml:space="preserve">Demjan, Zelený (2.3.)
</t>
    </r>
    <r>
      <rPr>
        <b/>
        <sz val="14"/>
        <color rgb="FF000000"/>
        <rFont val="Calibri"/>
      </rPr>
      <t>Refused offer</t>
    </r>
    <r>
      <rPr>
        <sz val="14"/>
        <color rgb="FF000000"/>
        <rFont val="Calibri"/>
      </rPr>
      <t xml:space="preserve"> Kubovič
</t>
    </r>
    <r>
      <rPr>
        <b/>
        <sz val="14"/>
        <color rgb="FF000000"/>
        <rFont val="Calibri"/>
      </rPr>
      <t xml:space="preserve">Checking CV
</t>
    </r>
  </si>
  <si>
    <t>Trojan</t>
  </si>
  <si>
    <t>Driver DPP Kladno</t>
  </si>
  <si>
    <r>
      <rPr>
        <b/>
        <sz val="14"/>
        <color rgb="FF000000"/>
        <rFont val="Calibri"/>
      </rPr>
      <t xml:space="preserve">Hiring: </t>
    </r>
    <r>
      <rPr>
        <sz val="14"/>
        <color rgb="FF000000"/>
        <rFont val="Calibri"/>
      </rPr>
      <t xml:space="preserve">Žáčková (LP)
</t>
    </r>
    <r>
      <rPr>
        <b/>
        <sz val="14"/>
        <color rgb="FF000000"/>
        <rFont val="Calibri"/>
      </rPr>
      <t xml:space="preserve">For 1st: </t>
    </r>
    <r>
      <rPr>
        <sz val="14"/>
        <color rgb="FF000000"/>
        <rFont val="Calibri"/>
      </rPr>
      <t xml:space="preserve">Procházka (4.3)
</t>
    </r>
    <r>
      <rPr>
        <b/>
        <sz val="14"/>
        <color rgb="FF000000"/>
        <rFont val="Calibri"/>
      </rPr>
      <t xml:space="preserve">Refused offer: </t>
    </r>
    <r>
      <rPr>
        <sz val="14"/>
        <color rgb="FF000000"/>
        <rFont val="Calibri"/>
      </rPr>
      <t>Kolářová(18.2)</t>
    </r>
  </si>
  <si>
    <t>Riegerová</t>
  </si>
  <si>
    <t xml:space="preserve">
Checking CV
</t>
  </si>
  <si>
    <t>Korbel</t>
  </si>
  <si>
    <r>
      <rPr>
        <b/>
        <sz val="14"/>
        <color rgb="FF000000"/>
        <rFont val="Calibri"/>
      </rPr>
      <t xml:space="preserve">
Didnt come</t>
    </r>
    <r>
      <rPr>
        <sz val="14"/>
        <color rgb="FF000000"/>
        <rFont val="Calibri"/>
      </rPr>
      <t xml:space="preserve"> Janíček
</t>
    </r>
    <r>
      <rPr>
        <b/>
        <sz val="14"/>
        <color rgb="FF000000"/>
        <rFont val="Calibri"/>
      </rPr>
      <t xml:space="preserve">Checking CV
</t>
    </r>
  </si>
  <si>
    <t>Driver DPP Sokolov</t>
  </si>
  <si>
    <t>140,-Kč/hod</t>
  </si>
  <si>
    <t>AAA, dobraprace,  pracezarohem, práce cz</t>
  </si>
  <si>
    <r>
      <rPr>
        <b/>
        <sz val="14"/>
        <color rgb="FF000000"/>
        <rFont val="Calibri"/>
        <scheme val="minor"/>
      </rPr>
      <t>Hired:</t>
    </r>
    <r>
      <rPr>
        <sz val="14"/>
        <color rgb="FF000000"/>
        <rFont val="Calibri"/>
        <scheme val="minor"/>
      </rPr>
      <t xml:space="preserve"> Krejza(11.2</t>
    </r>
    <r>
      <rPr>
        <b/>
        <sz val="14"/>
        <color rgb="FF000000"/>
        <rFont val="Calibri"/>
        <scheme val="minor"/>
      </rPr>
      <t>)</t>
    </r>
    <r>
      <rPr>
        <sz val="14"/>
        <color rgb="FF000000"/>
        <rFont val="Calibri"/>
        <scheme val="minor"/>
      </rPr>
      <t xml:space="preserve">, Matyáš (2.3)
</t>
    </r>
    <r>
      <rPr>
        <b/>
        <sz val="14"/>
        <color rgb="FF000000"/>
        <rFont val="Calibri"/>
        <scheme val="minor"/>
      </rPr>
      <t>Hiring:</t>
    </r>
    <r>
      <rPr>
        <sz val="14"/>
        <color rgb="FF000000"/>
        <rFont val="Calibri"/>
        <scheme val="minor"/>
      </rPr>
      <t xml:space="preserve"> Procházka(LP)
After1st:Wnek(not suitable)</t>
    </r>
  </si>
  <si>
    <t>fill cap, Mayer</t>
  </si>
  <si>
    <t>26 0000 + 0-6000 KPI</t>
  </si>
  <si>
    <r>
      <rPr>
        <b/>
        <sz val="14"/>
        <color rgb="FF000000"/>
        <rFont val="Calibri"/>
        <scheme val="minor"/>
      </rPr>
      <t xml:space="preserve">
Hiring </t>
    </r>
    <r>
      <rPr>
        <sz val="14"/>
        <color rgb="FF000000"/>
        <rFont val="Calibri"/>
        <scheme val="minor"/>
      </rPr>
      <t xml:space="preserve">Řáda 
</t>
    </r>
    <r>
      <rPr>
        <b/>
        <sz val="14"/>
        <color rgb="FF000000"/>
        <rFont val="Calibri"/>
        <scheme val="minor"/>
      </rPr>
      <t>No after 2nd</t>
    </r>
    <r>
      <rPr>
        <sz val="14"/>
        <color rgb="FF000000"/>
        <rFont val="Calibri"/>
        <scheme val="minor"/>
      </rPr>
      <t xml:space="preserve"> Beníšek, Sys 
</t>
    </r>
    <r>
      <rPr>
        <b/>
        <sz val="14"/>
        <color rgb="FF000000"/>
        <rFont val="Calibri"/>
        <scheme val="minor"/>
      </rPr>
      <t>Checking CVs</t>
    </r>
  </si>
  <si>
    <t>?</t>
  </si>
  <si>
    <t>AAA, inwork, pracezarohem, práce cz</t>
  </si>
  <si>
    <r>
      <rPr>
        <b/>
        <sz val="14"/>
        <color rgb="FF000000"/>
        <rFont val="Calibri"/>
      </rPr>
      <t xml:space="preserve">Hiring: Chalupecký (15.3.), Practice day: Soska , To 2nd: Šimík (30.1.), No after 2nd: </t>
    </r>
    <r>
      <rPr>
        <sz val="14"/>
        <color rgb="FF000000"/>
        <rFont val="Calibri"/>
      </rPr>
      <t>: Baťha, Hampl</t>
    </r>
  </si>
  <si>
    <t>Kroužecká, Volencová</t>
  </si>
  <si>
    <t xml:space="preserve">
161947
</t>
  </si>
  <si>
    <t>25 000 + %
Referral - 20 000</t>
  </si>
  <si>
    <r>
      <rPr>
        <b/>
        <sz val="14"/>
        <color rgb="FF000000"/>
        <rFont val="Calibri"/>
        <family val="2"/>
        <charset val="238"/>
      </rPr>
      <t xml:space="preserve">Hiring: </t>
    </r>
    <r>
      <rPr>
        <sz val="14"/>
        <color rgb="FF000000"/>
        <rFont val="Calibri"/>
        <family val="2"/>
        <charset val="238"/>
      </rPr>
      <t>Pavlová (1.4.2026)</t>
    </r>
    <r>
      <rPr>
        <b/>
        <sz val="14"/>
        <color rgb="FF000000"/>
        <rFont val="Calibri"/>
        <family val="2"/>
        <charset val="238"/>
      </rPr>
      <t>, No after 2nd:</t>
    </r>
    <r>
      <rPr>
        <sz val="14"/>
        <color rgb="FF000000"/>
        <rFont val="Calibri"/>
        <family val="2"/>
        <charset val="238"/>
      </rPr>
      <t xml:space="preserve"> Drevenár</t>
    </r>
    <r>
      <rPr>
        <b/>
        <sz val="14"/>
        <color rgb="FF000000"/>
        <rFont val="Calibri"/>
        <family val="2"/>
        <charset val="238"/>
      </rPr>
      <t xml:space="preserve">, </t>
    </r>
    <r>
      <rPr>
        <sz val="14"/>
        <color rgb="FF000000"/>
        <rFont val="Calibri"/>
        <family val="2"/>
        <charset val="238"/>
      </rPr>
      <t>Kučerová, Pernicová, Havlík, Pachl, Batelková,  Pichl, Kočerhán</t>
    </r>
    <r>
      <rPr>
        <b/>
        <sz val="14"/>
        <color rgb="FF000000"/>
        <rFont val="Calibri"/>
        <family val="2"/>
        <charset val="238"/>
      </rPr>
      <t xml:space="preserve"> Refused offer: Krejčíková, </t>
    </r>
    <r>
      <rPr>
        <sz val="14"/>
        <color rgb="FF000000"/>
        <rFont val="Calibri"/>
        <family val="2"/>
        <charset val="238"/>
      </rPr>
      <t xml:space="preserve">Ben Rguez, Kolářová, Jirsa, Slavíčková, Talacko
</t>
    </r>
    <r>
      <rPr>
        <b/>
        <sz val="14"/>
        <color rgb="FF000000"/>
        <rFont val="Calibri"/>
        <family val="2"/>
        <charset val="238"/>
      </rPr>
      <t xml:space="preserve">Didn´t come: </t>
    </r>
    <r>
      <rPr>
        <sz val="14"/>
        <color rgb="FF000000"/>
        <rFont val="Calibri"/>
        <family val="2"/>
        <charset val="238"/>
      </rPr>
      <t xml:space="preserve">Svobodová, Kumbera, Zadražil
</t>
    </r>
    <r>
      <rPr>
        <b/>
        <sz val="14"/>
        <color rgb="FF000000"/>
        <rFont val="Calibri"/>
        <family val="2"/>
        <charset val="238"/>
      </rPr>
      <t>Hired</t>
    </r>
    <r>
      <rPr>
        <sz val="14"/>
        <color rgb="FF000000"/>
        <rFont val="Calibri"/>
        <family val="2"/>
        <charset val="238"/>
      </rPr>
      <t xml:space="preserve">: Volencová 3.2.2025
</t>
    </r>
  </si>
  <si>
    <t>Tomášek, + ?</t>
  </si>
  <si>
    <r>
      <rPr>
        <b/>
        <sz val="14"/>
        <color rgb="FF000000"/>
        <rFont val="Calibri"/>
        <family val="2"/>
        <charset val="238"/>
      </rPr>
      <t>Hiring: Michálek (2.3.), No after:</t>
    </r>
    <r>
      <rPr>
        <sz val="14"/>
        <color rgb="FF000000"/>
        <rFont val="Calibri"/>
        <family val="2"/>
        <charset val="238"/>
      </rPr>
      <t xml:space="preserve"> Veselý, Schaffer</t>
    </r>
  </si>
  <si>
    <t>Robová</t>
  </si>
  <si>
    <t>Customer Service Specialist  - Liberec</t>
  </si>
  <si>
    <r>
      <rPr>
        <b/>
        <sz val="14"/>
        <color rgb="FF000000"/>
        <rFont val="Calibri"/>
      </rPr>
      <t xml:space="preserve">No after practice day:  </t>
    </r>
    <r>
      <rPr>
        <sz val="14"/>
        <color rgb="FF000000"/>
        <rFont val="Calibri"/>
      </rPr>
      <t>Vidnerová</t>
    </r>
  </si>
  <si>
    <t>26 000 + 0-6 000 KPI</t>
  </si>
  <si>
    <t>AAA, jobdnes, pracezarohem, práce cz</t>
  </si>
  <si>
    <r>
      <rPr>
        <b/>
        <sz val="14"/>
        <color rgb="FF000000"/>
        <rFont val="Calibri"/>
      </rPr>
      <t>Hiring:</t>
    </r>
    <r>
      <rPr>
        <sz val="14"/>
        <color rgb="FF000000"/>
        <rFont val="Calibri"/>
      </rPr>
      <t xml:space="preserve"> Kropáč (9.3.), Hejduk (dle LP)
</t>
    </r>
    <r>
      <rPr>
        <b/>
        <sz val="14"/>
        <color rgb="FF000000"/>
        <rFont val="Calibri"/>
      </rPr>
      <t xml:space="preserve">No after 2nd: </t>
    </r>
    <r>
      <rPr>
        <sz val="14"/>
        <color rgb="FF000000"/>
        <rFont val="Calibri"/>
      </rPr>
      <t xml:space="preserve">Baran, Břichňáč
</t>
    </r>
    <r>
      <rPr>
        <b/>
        <sz val="14"/>
        <color rgb="FF000000"/>
        <rFont val="Calibri"/>
      </rPr>
      <t>Refused offer:</t>
    </r>
    <r>
      <rPr>
        <sz val="14"/>
        <color rgb="FF000000"/>
        <rFont val="Calibri"/>
      </rPr>
      <t xml:space="preserve"> Palme
</t>
    </r>
    <r>
      <rPr>
        <b/>
        <sz val="14"/>
        <color rgb="FF000000"/>
        <rFont val="Calibri"/>
      </rPr>
      <t>Checking CV
Zadán RQ na navýšení capu (1x)</t>
    </r>
  </si>
  <si>
    <t>Ryšavý</t>
  </si>
  <si>
    <t>Helper - Mladá Boleslav</t>
  </si>
  <si>
    <t xml:space="preserve">NEW
</t>
  </si>
  <si>
    <t>Řeháková</t>
  </si>
  <si>
    <t>Jeřábek, Hubert</t>
  </si>
  <si>
    <r>
      <rPr>
        <b/>
        <sz val="14"/>
        <color rgb="FF000000"/>
        <rFont val="Calibri"/>
        <scheme val="minor"/>
      </rPr>
      <t xml:space="preserve">Hiring </t>
    </r>
    <r>
      <rPr>
        <sz val="14"/>
        <color rgb="FF000000"/>
        <rFont val="Calibri"/>
        <scheme val="minor"/>
      </rPr>
      <t xml:space="preserve">Novák, Parsch
</t>
    </r>
    <r>
      <rPr>
        <b/>
        <sz val="14"/>
        <color rgb="FF000000"/>
        <rFont val="Calibri"/>
        <scheme val="minor"/>
      </rPr>
      <t xml:space="preserve">No after 2nd </t>
    </r>
    <r>
      <rPr>
        <sz val="14"/>
        <color rgb="FF000000"/>
        <rFont val="Calibri"/>
        <scheme val="minor"/>
      </rPr>
      <t xml:space="preserve">Cincibus, Vorasický, Vališ, Zacharda
</t>
    </r>
    <r>
      <rPr>
        <b/>
        <sz val="14"/>
        <color rgb="FF000000"/>
        <rFont val="Calibri"/>
        <scheme val="minor"/>
      </rPr>
      <t xml:space="preserve">Checking CV
</t>
    </r>
  </si>
  <si>
    <t>Driver DPP Teplice</t>
  </si>
  <si>
    <r>
      <rPr>
        <b/>
        <sz val="14"/>
        <color rgb="FF000000"/>
        <rFont val="Calibri"/>
        <scheme val="minor"/>
      </rPr>
      <t xml:space="preserve">Checking CV
For1st: </t>
    </r>
    <r>
      <rPr>
        <sz val="14"/>
        <color rgb="FF000000"/>
        <rFont val="Calibri"/>
        <scheme val="minor"/>
      </rPr>
      <t>Mestl(23.2), Šidelka(25.2)</t>
    </r>
  </si>
  <si>
    <t>Valová</t>
  </si>
  <si>
    <t>Customer Service Specialist  - Ústí</t>
  </si>
  <si>
    <t>Blahnik</t>
  </si>
  <si>
    <t xml:space="preserve">Hiring: Marek (3/2026) </t>
  </si>
  <si>
    <r>
      <t xml:space="preserve">After 2nd 2x
Hired 2.3. </t>
    </r>
    <r>
      <rPr>
        <sz val="14"/>
        <color rgb="FF000000"/>
        <rFont val="Calibri"/>
        <scheme val="minor"/>
      </rPr>
      <t>Pečinka</t>
    </r>
  </si>
  <si>
    <t>Test Driver - Brno</t>
  </si>
  <si>
    <t>AAA, práce, práce za rohem, Inwork</t>
  </si>
  <si>
    <t>Helper - Brno</t>
  </si>
  <si>
    <t>26 000 + 0 - 8 000 KPI</t>
  </si>
  <si>
    <t>AAA, dobraprace, pracezarohem, práce cz</t>
  </si>
  <si>
    <r>
      <rPr>
        <b/>
        <sz val="14"/>
        <color rgb="FF000000"/>
        <rFont val="Calibri"/>
      </rPr>
      <t xml:space="preserve">Hiring: </t>
    </r>
    <r>
      <rPr>
        <sz val="14"/>
        <color rgb="FF000000"/>
        <rFont val="Calibri"/>
      </rPr>
      <t xml:space="preserve">Mejzlík (dle LP)
</t>
    </r>
    <r>
      <rPr>
        <b/>
        <sz val="14"/>
        <color rgb="FF000000"/>
        <rFont val="Calibri"/>
      </rPr>
      <t>After 2nd:</t>
    </r>
    <r>
      <rPr>
        <sz val="14"/>
        <color rgb="FF000000"/>
        <rFont val="Calibri"/>
      </rPr>
      <t xml:space="preserve"> Ptáček
</t>
    </r>
    <r>
      <rPr>
        <b/>
        <sz val="14"/>
        <color rgb="FF000000"/>
        <rFont val="Calibri"/>
      </rPr>
      <t>For 2nd</t>
    </r>
    <r>
      <rPr>
        <sz val="14"/>
        <color rgb="FF000000"/>
        <rFont val="Calibri"/>
      </rPr>
      <t xml:space="preserve">: Boháček (??), Mach
</t>
    </r>
    <r>
      <rPr>
        <b/>
        <sz val="14"/>
        <color rgb="FF000000"/>
        <rFont val="Calibri"/>
      </rPr>
      <t>Didnt come:</t>
    </r>
    <r>
      <rPr>
        <sz val="14"/>
        <color rgb="FF000000"/>
        <rFont val="Calibri"/>
      </rPr>
      <t xml:space="preserve"> Komárek, Kučera
</t>
    </r>
    <r>
      <rPr>
        <b/>
        <sz val="14"/>
        <color rgb="FF000000"/>
        <rFont val="Calibri"/>
      </rPr>
      <t>Refused offer:</t>
    </r>
    <r>
      <rPr>
        <sz val="14"/>
        <color rgb="FF000000"/>
        <rFont val="Calibri"/>
      </rPr>
      <t xml:space="preserve"> Šíla
</t>
    </r>
    <r>
      <rPr>
        <b/>
        <sz val="14"/>
        <color rgb="FF000000"/>
        <rFont val="Calibri"/>
      </rPr>
      <t>Checking CV</t>
    </r>
  </si>
  <si>
    <t>Tetur</t>
  </si>
  <si>
    <t>DPP Driver - Brno</t>
  </si>
  <si>
    <t>140 Kč/hod</t>
  </si>
  <si>
    <r>
      <rPr>
        <b/>
        <sz val="14"/>
        <color rgb="FF000000"/>
        <rFont val="Calibri"/>
      </rPr>
      <t xml:space="preserve">After 2nd: </t>
    </r>
    <r>
      <rPr>
        <sz val="14"/>
        <color rgb="FF000000"/>
        <rFont val="Calibri"/>
      </rPr>
      <t xml:space="preserve">Rohrbacher (27.2.)
</t>
    </r>
    <r>
      <rPr>
        <b/>
        <sz val="14"/>
        <color rgb="FF000000"/>
        <rFont val="Calibri"/>
      </rPr>
      <t>Checking CV´s</t>
    </r>
  </si>
  <si>
    <t>Škarvada</t>
  </si>
  <si>
    <t>Salesman - Jihlava</t>
  </si>
  <si>
    <t>AAA, prace.cz</t>
  </si>
  <si>
    <r>
      <rPr>
        <b/>
        <sz val="14"/>
        <color rgb="FF000000"/>
        <rFont val="Calibri"/>
        <scheme val="minor"/>
      </rPr>
      <t xml:space="preserve">No after 2nd </t>
    </r>
    <r>
      <rPr>
        <sz val="14"/>
        <color rgb="FF000000"/>
        <rFont val="Calibri"/>
        <scheme val="minor"/>
      </rPr>
      <t xml:space="preserve">3x
</t>
    </r>
    <r>
      <rPr>
        <b/>
        <sz val="14"/>
        <color rgb="FF000000"/>
        <rFont val="Calibri"/>
        <scheme val="minor"/>
      </rPr>
      <t>Checking CVs</t>
    </r>
  </si>
  <si>
    <t>Driver - Jihlava</t>
  </si>
  <si>
    <r>
      <rPr>
        <b/>
        <sz val="14"/>
        <color rgb="FF000000"/>
        <rFont val="Calibri"/>
      </rPr>
      <t xml:space="preserve">After 2nd: </t>
    </r>
    <r>
      <rPr>
        <sz val="14"/>
        <color rgb="FF000000"/>
        <rFont val="Calibri"/>
      </rPr>
      <t xml:space="preserve">Pekárek (nezvedá tel)
</t>
    </r>
    <r>
      <rPr>
        <b/>
        <sz val="14"/>
        <color rgb="FF000000"/>
        <rFont val="Calibri"/>
      </rPr>
      <t>Refused offer:</t>
    </r>
    <r>
      <rPr>
        <sz val="14"/>
        <color rgb="FF000000"/>
        <rFont val="Calibri"/>
      </rPr>
      <t xml:space="preserve"> Janovský 
Hired: Pěnička (17.2.)</t>
    </r>
  </si>
  <si>
    <t>Holub</t>
  </si>
  <si>
    <t>Driver DPP Olomouc</t>
  </si>
  <si>
    <t>AAA, fajnbrigady, dobraprace, jobdnes</t>
  </si>
  <si>
    <r>
      <rPr>
        <b/>
        <sz val="14"/>
        <color rgb="FF000000"/>
        <rFont val="Calibri"/>
        <scheme val="minor"/>
      </rPr>
      <t xml:space="preserve">Checking CV
Hired: </t>
    </r>
    <r>
      <rPr>
        <sz val="14"/>
        <color rgb="FF000000"/>
        <rFont val="Calibri"/>
        <scheme val="minor"/>
      </rPr>
      <t>Zháněl(13.1), Vlášek (3.2), Esson (2.2), Sádecký(25.2)</t>
    </r>
  </si>
  <si>
    <t>Motyčka</t>
  </si>
  <si>
    <t>Salesman</t>
  </si>
  <si>
    <t>Salesman - Opava</t>
  </si>
  <si>
    <t xml:space="preserve">25 000 + % </t>
  </si>
  <si>
    <r>
      <rPr>
        <b/>
        <sz val="14"/>
        <color rgb="FF000000"/>
        <rFont val="Calibri"/>
      </rPr>
      <t xml:space="preserve"> for 3rd: </t>
    </r>
    <r>
      <rPr>
        <sz val="14"/>
        <color rgb="FF000000"/>
        <rFont val="Calibri"/>
      </rPr>
      <t>Kohaut (20.2.)
No after 2nd: Ščuka, Kurečka, Šafár, Hartel</t>
    </r>
  </si>
  <si>
    <t>Vídeňský</t>
  </si>
  <si>
    <t xml:space="preserve">
177033</t>
  </si>
  <si>
    <t>Salesman - Ostrava</t>
  </si>
  <si>
    <r>
      <rPr>
        <b/>
        <sz val="14"/>
        <color rgb="FF000000"/>
        <rFont val="Calibri"/>
      </rPr>
      <t>Hiring: Bartošík (2.3.)
Reffused offer Chylík,  Zajíc, Kremser
Hired</t>
    </r>
    <r>
      <rPr>
        <sz val="14"/>
        <color rgb="FF000000"/>
        <rFont val="Calibri"/>
      </rPr>
      <t xml:space="preserve"> Jonáš (2.2.) Červeň, Kromer (1.12.)
No after 2nd: Hejl (assis), Kmeťo
</t>
    </r>
    <r>
      <rPr>
        <b/>
        <sz val="14"/>
        <color rgb="FF000000"/>
        <rFont val="Calibri"/>
      </rPr>
      <t xml:space="preserve">Didint come: </t>
    </r>
    <r>
      <rPr>
        <sz val="14"/>
        <color rgb="FF000000"/>
        <rFont val="Calibri"/>
      </rPr>
      <t xml:space="preserve">Cmiel, Kamrád, Ulčák
</t>
    </r>
    <r>
      <rPr>
        <b/>
        <sz val="14"/>
        <color rgb="FF000000"/>
        <rFont val="Calibri"/>
      </rPr>
      <t xml:space="preserve">No after 2nd: </t>
    </r>
    <r>
      <rPr>
        <sz val="14"/>
        <color rgb="FF000000"/>
        <rFont val="Calibri"/>
      </rPr>
      <t xml:space="preserve">Remeš </t>
    </r>
  </si>
  <si>
    <t>Válový, Čermák</t>
  </si>
  <si>
    <t>26 000+0-6 000 KPI</t>
  </si>
  <si>
    <t>AAA, dobraprace, prace.cz, pracezarohem</t>
  </si>
  <si>
    <r>
      <rPr>
        <b/>
        <sz val="14"/>
        <color rgb="FF000000"/>
        <rFont val="Calibri"/>
        <scheme val="minor"/>
      </rPr>
      <t xml:space="preserve">Hiring: </t>
    </r>
    <r>
      <rPr>
        <sz val="14"/>
        <color rgb="FF000000"/>
        <rFont val="Calibri"/>
        <scheme val="minor"/>
      </rPr>
      <t xml:space="preserve">Hadravský (4.3)
</t>
    </r>
    <r>
      <rPr>
        <b/>
        <sz val="14"/>
        <color rgb="FF000000"/>
        <rFont val="Calibri"/>
        <scheme val="minor"/>
      </rPr>
      <t>Refused offer:</t>
    </r>
    <r>
      <rPr>
        <sz val="14"/>
        <color rgb="FF000000"/>
        <rFont val="Calibri"/>
        <scheme val="minor"/>
      </rPr>
      <t xml:space="preserve"> Hříva </t>
    </r>
  </si>
  <si>
    <t>Michálek, Bonalsky</t>
  </si>
  <si>
    <t>Driver DPP Ostrava</t>
  </si>
  <si>
    <r>
      <rPr>
        <b/>
        <sz val="14"/>
        <color rgb="FF000000"/>
        <rFont val="Calibri"/>
        <scheme val="minor"/>
      </rPr>
      <t xml:space="preserve">Hiring: </t>
    </r>
    <r>
      <rPr>
        <sz val="14"/>
        <color rgb="FF000000"/>
        <rFont val="Calibri"/>
        <scheme val="minor"/>
      </rPr>
      <t xml:space="preserve">Dulaj (LP)
</t>
    </r>
    <r>
      <rPr>
        <b/>
        <sz val="14"/>
        <color rgb="FF000000"/>
        <rFont val="Calibri"/>
        <scheme val="minor"/>
      </rPr>
      <t>Hired:</t>
    </r>
    <r>
      <rPr>
        <sz val="14"/>
        <color rgb="FF000000"/>
        <rFont val="Calibri"/>
        <scheme val="minor"/>
      </rPr>
      <t xml:space="preserve"> Milt (26.2)
</t>
    </r>
    <r>
      <rPr>
        <b/>
        <sz val="14"/>
        <color rgb="FF000000"/>
        <rFont val="Calibri"/>
        <scheme val="minor"/>
      </rPr>
      <t>No after1st:</t>
    </r>
    <r>
      <rPr>
        <sz val="14"/>
        <color rgb="FF000000"/>
        <rFont val="Calibri"/>
        <scheme val="minor"/>
      </rPr>
      <t xml:space="preserve"> Kukuča(6.2)</t>
    </r>
  </si>
  <si>
    <t>Prokop Dostál</t>
  </si>
  <si>
    <t>waiting for RFP</t>
  </si>
  <si>
    <t>Driver - Pardubice</t>
  </si>
  <si>
    <t>AAA, prace.cz, práce za rohem, jobs</t>
  </si>
  <si>
    <r>
      <rPr>
        <b/>
        <sz val="14"/>
        <color rgb="FF000000"/>
        <rFont val="Calibri"/>
        <scheme val="minor"/>
      </rPr>
      <t xml:space="preserve">Refused offer: </t>
    </r>
    <r>
      <rPr>
        <sz val="14"/>
        <color rgb="FF000000"/>
        <rFont val="Calibri"/>
        <scheme val="minor"/>
      </rPr>
      <t xml:space="preserve">Pavlík, Vitmar
</t>
    </r>
    <r>
      <rPr>
        <b/>
        <sz val="14"/>
        <color rgb="FF000000"/>
        <rFont val="Calibri"/>
        <scheme val="minor"/>
      </rPr>
      <t>Checking CV´s</t>
    </r>
  </si>
  <si>
    <t>Matěj Novák</t>
  </si>
  <si>
    <t xml:space="preserve">
177092</t>
  </si>
  <si>
    <t>Salesman - Otrokovice</t>
  </si>
  <si>
    <r>
      <rPr>
        <b/>
        <sz val="14"/>
        <color rgb="FF000000"/>
        <rFont val="Calibri"/>
      </rPr>
      <t xml:space="preserve">For 2nd: Pernický (20.2.)Reff. Off.: </t>
    </r>
    <r>
      <rPr>
        <sz val="14"/>
        <color rgb="FF000000"/>
        <rFont val="Calibri"/>
      </rPr>
      <t xml:space="preserve">Dostál
</t>
    </r>
    <r>
      <rPr>
        <b/>
        <sz val="14"/>
        <color rgb="FF000000"/>
        <rFont val="Calibri"/>
      </rPr>
      <t xml:space="preserve">Hired: </t>
    </r>
    <r>
      <rPr>
        <sz val="14"/>
        <color rgb="FF000000"/>
        <rFont val="Calibri"/>
      </rPr>
      <t>Jaroš (5. 1. 2026)</t>
    </r>
  </si>
  <si>
    <t>Driver DPP Otrokovice</t>
  </si>
  <si>
    <r>
      <rPr>
        <b/>
        <sz val="14"/>
        <color rgb="FF000000"/>
        <rFont val="Calibri"/>
        <scheme val="minor"/>
      </rPr>
      <t>Hired:</t>
    </r>
    <r>
      <rPr>
        <sz val="14"/>
        <color rgb="FF000000"/>
        <rFont val="Calibri"/>
        <scheme val="minor"/>
      </rPr>
      <t xml:space="preserve"> Halámek (3.3)
</t>
    </r>
    <r>
      <rPr>
        <b/>
        <sz val="14"/>
        <color rgb="FF000000"/>
        <rFont val="Calibri"/>
        <scheme val="minor"/>
      </rPr>
      <t xml:space="preserve">Hiring: </t>
    </r>
    <r>
      <rPr>
        <sz val="14"/>
        <color rgb="FF000000"/>
        <rFont val="Calibri"/>
        <scheme val="minor"/>
      </rPr>
      <t xml:space="preserve">Straka (LP), 
</t>
    </r>
    <r>
      <rPr>
        <b/>
        <sz val="14"/>
        <color rgb="FF000000"/>
        <rFont val="Calibri"/>
        <scheme val="minor"/>
      </rPr>
      <t>Refused offer</t>
    </r>
    <r>
      <rPr>
        <sz val="14"/>
        <color rgb="FF000000"/>
        <rFont val="Calibri"/>
        <scheme val="minor"/>
      </rPr>
      <t>: Knot</t>
    </r>
  </si>
  <si>
    <t/>
  </si>
  <si>
    <t>01_Marketing &amp; Communication</t>
  </si>
  <si>
    <t>09_Economic</t>
  </si>
  <si>
    <t>18_Data Science</t>
  </si>
  <si>
    <t>20_Innovations</t>
  </si>
  <si>
    <t>AAA AUTO — VACANCY SUMMARY REPORT</t>
  </si>
  <si>
    <t>CZ  |  Active Vacancies Overview</t>
  </si>
  <si>
    <t xml:space="preserve">  KEY METRICS</t>
  </si>
  <si>
    <t xml:space="preserve">  TOTAL POSITIONS</t>
  </si>
  <si>
    <t xml:space="preserve">  TOTAL VACANCIES</t>
  </si>
  <si>
    <t xml:space="preserve">  TOTAL VACANCIES RPL</t>
  </si>
  <si>
    <t xml:space="preserve">  TOTAL VACANCIES NEW</t>
  </si>
  <si>
    <t>Vac by Division</t>
  </si>
  <si>
    <t>Vacancies</t>
  </si>
  <si>
    <t>(prázdné)</t>
  </si>
  <si>
    <t>Celkový součet</t>
  </si>
  <si>
    <t>Vac by branch</t>
  </si>
  <si>
    <t>Vac by consultant</t>
  </si>
  <si>
    <t>Vac by hiring manager</t>
  </si>
  <si>
    <t xml:space="preserve">  NARRATIVE SUMMARY ---- POKUS</t>
  </si>
  <si>
    <t>Aktuální stav (k 3. 3. 2026)</t>
  </si>
  <si>
    <t>Aktuálně se hledá celkem 103 volných míst (VAC) na 66 otevřených pozicích ve 22 lokalitách po celé ČR. Z toho 91 VAC jsou náhrady odcházejících zaměstnanců (RPL) a 11 VAC jsou nově vytvořené pozice (NEW).</t>
  </si>
  <si>
    <t>Nejhledanější pozice</t>
  </si>
  <si>
    <t>Nejvíce se hledají Salesmani (14 otevřených inzerátů, ~21 VAC), Řidiči / DPP Řidiči (10 inzerátů, ~20 VAC) a Helpeři (8 inzerátů, ~17 VAC). Tyto 3 typy pozic tvoří přes 55 % všech volných míst. Dalšími frekventovanými rolemi jsou Customer Service Specialist (7 inzerátů, 8 VAC) a Test Driver / Car Trader (5 inzerátů, 8 VAC).</t>
  </si>
  <si>
    <t>Nejproblematičtější pozice (vysoký Time to Fill)</t>
  </si>
  <si>
    <t>Nejdéle otevřená pozice je Customer Service Specialist v Kolíně — 393 dní, přes 15 odmítnutých kandidátů, obsazeni jen 2 ze 4. Jeden nástup naplánován na 1. 4. 2026 (Pavlová). Vyžaduje přehodnocení strategie (mzda, sourcing, referral). Další kritické případy: Salesman Čestlice (176 dní), Salesman Praha (165 dní), Mechanic Kladno (128 dní), Car Trader Příbram (113 dní).</t>
  </si>
  <si>
    <t>Divize a geografie</t>
  </si>
  <si>
    <t>Automotive OPS dominuje s 38 VAC (37 % celku) — převážně řidiči a helpeři. Následují Car Sales (20 VAC) a Car Purchase (14 VAC). Tyto 3 divize pokrývají 70 % náboru. Geograficky nejvytíženější lokality: Prague Branch (13 VAC), Ostrava (9), Brno (8), Liberec / Teplice / České Budějovice (po 6).</t>
  </si>
  <si>
    <t>Anomálie a upozornění</t>
  </si>
  <si>
    <t>3 pozice mají ACTUAL &gt; CAP: CC Representative Praha HQ (42/41), Salesman Liberec (8/7), Salesman Ústí nad Labem (5/4) — pravděpodobně čeká na schválení navýšení capu.</t>
  </si>
  <si>
    <t>Pozice Salesman Brno (Hired 2.3. Pečinka) a Driver Jihlava (Hired: Pěnička 17.2.) mají VAC=1, ale v komentářích je již uveden Hired s datem v minulosti — pozice pravděpodobně již obsazeny, VAC by mělo být aktualizováno.</t>
  </si>
  <si>
    <t>Pozice pravděpodobně brzy plně obsazené (Hiring s datem v březnu–dubnu 2026)</t>
  </si>
  <si>
    <t>U následujících pozic počet kandidátů ve stavu Hiring nebo LP odpovídá počtu volných míst (VAC) — pozice se pravděpodobně plně uzavřou:</t>
  </si>
  <si>
    <t xml:space="preserve">  •  Serviceman Praha HQ — Hiring: Chalupecký (2.3.) — VAC 1 → pravděpodobně uzavřeno</t>
  </si>
  <si>
    <t xml:space="preserve">  •  Mechanic / České Budějovice — IM Setikovsky (1.3.) — VAC 1 → pravděpodobně uzavřeno</t>
  </si>
  <si>
    <t xml:space="preserve">  •  Stock Controller Liberec — Hiring: Saska (23.3.) — VAC 1 → pravděpodobně uzavřeno</t>
  </si>
  <si>
    <t xml:space="preserve">  •  Stock Controller České Budějovice — Hiring: Rotšédl (1.4.) — VAC 1 → pravděpodobně uzavřeno</t>
  </si>
  <si>
    <t xml:space="preserve">  •  Receptionist Prague Branch — Hiring: Lisová (9.3.) — VAC 1 → pravděpodobně uzavřeno</t>
  </si>
  <si>
    <t xml:space="preserve">  •  Salesman Chomutov — Hiring: Demjan, Zelený (2.3.) — VAC 2 → obě místa pravděpodobně obsazena</t>
  </si>
  <si>
    <t xml:space="preserve">  •  Salesman Hradec Králové — Hiring: Chalupecký (15.3.) — VAC 1 → pravděpodobně uzavřeno</t>
  </si>
  <si>
    <t xml:space="preserve">  •  Salesman Ostrava — Hiring: Bartšík (2.3.) — VAC 1 → pravděpodobně uzavřeno</t>
  </si>
  <si>
    <t xml:space="preserve">  •  Salesman Ústí nad Labem — Hiring: Marek (3/2026) — VAC 1 → pravděpodobně uzavřeno</t>
  </si>
  <si>
    <t xml:space="preserve">  •  Helper Liberec — Hiring: Kropáč (9.3.) + Hejduk (LP) — VAC 2 → obě místa pravděpodobně obsazena</t>
  </si>
  <si>
    <t xml:space="preserve">  •  Helper Teplice — Hiring: Novák, Parsch — VAC 2 → obě místa pravděpodobně obsazena</t>
  </si>
  <si>
    <t xml:space="preserve">  •  Driver DPP Ostrava — Hiring: Dulaj (LP) — VAC 1 → pravděpodobně uzavřeno</t>
  </si>
  <si>
    <t xml:space="preserve">  •  Driver DPP Otrokovice — Hiring: Straka (LP) + Halámek (3.3.) — VAC 2 → obě místa pravděpodobně obsazena</t>
  </si>
  <si>
    <t xml:space="preserve">  •  Office Cleaner DPP Otrokovice — Hiring: Václavíková (4.3.) — VAC 1 → pravděpodobně uzavřeno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</si>
</sst>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d/m"/>
    <numFmt numFmtId="165" formatCode="0.0"/>
    <numFmt numFmtId="166" formatCode="[$-415]General"/>
    <numFmt numFmtId="167" formatCode="#,##0.00&quot; &quot;[$zł-415];[Red]&quot;-&quot;#,##0.00&quot; &quot;[$zł-415]"/>
    <numFmt numFmtId="168" formatCode="_-* #,##0.00\ _K_č_-;\-* #,##0.00\ _K_č_-;_-* &quot;-&quot;??\ _K_č_-;_-@_-"/>
    <numFmt numFmtId="169" formatCode="_-* #,##0_-;\-* #,##0_-;_-* &quot;-&quot;??_-;_-@_-"/>
  </numFmts>
  <fonts count="138">
    <font>
      <sz val="10"/>
      <name val="Arial CE"/>
      <charset val="238"/>
    </font>
    <font>
      <sz val="11"/>
      <color theme="1"/>
      <name val="Calibri"/>
      <family val="2"/>
      <charset val="238"/>
      <scheme val="minor"/>
    </font>
    <font>
      <sz val="10"/>
      <name val="Arial CE"/>
      <charset val="238"/>
    </font>
    <font>
      <sz val="12"/>
      <name val="Arial"/>
      <family val="2"/>
    </font>
    <font>
      <sz val="11"/>
      <color indexed="8"/>
      <name val="Calibri"/>
      <family val="2"/>
      <charset val="238"/>
    </font>
    <font>
      <sz val="11"/>
      <color indexed="9"/>
      <name val="Calibri"/>
      <family val="2"/>
      <charset val="238"/>
    </font>
    <font>
      <b/>
      <sz val="11"/>
      <color indexed="8"/>
      <name val="Calibri"/>
      <family val="2"/>
      <charset val="238"/>
    </font>
    <font>
      <sz val="11"/>
      <color indexed="20"/>
      <name val="Calibri"/>
      <family val="2"/>
      <charset val="238"/>
    </font>
    <font>
      <b/>
      <sz val="11"/>
      <color indexed="9"/>
      <name val="Calibri"/>
      <family val="2"/>
      <charset val="238"/>
    </font>
    <font>
      <b/>
      <sz val="15"/>
      <color indexed="56"/>
      <name val="Calibri"/>
      <family val="2"/>
      <charset val="238"/>
    </font>
    <font>
      <b/>
      <sz val="13"/>
      <color indexed="56"/>
      <name val="Calibri"/>
      <family val="2"/>
      <charset val="238"/>
    </font>
    <font>
      <b/>
      <sz val="11"/>
      <color indexed="56"/>
      <name val="Calibri"/>
      <family val="2"/>
      <charset val="238"/>
    </font>
    <font>
      <b/>
      <sz val="18"/>
      <color indexed="56"/>
      <name val="Cambria"/>
      <family val="2"/>
      <charset val="238"/>
    </font>
    <font>
      <sz val="11"/>
      <color indexed="60"/>
      <name val="Calibri"/>
      <family val="2"/>
      <charset val="238"/>
    </font>
    <font>
      <sz val="11"/>
      <color indexed="52"/>
      <name val="Calibri"/>
      <family val="2"/>
      <charset val="238"/>
    </font>
    <font>
      <sz val="11"/>
      <color indexed="17"/>
      <name val="Calibri"/>
      <family val="2"/>
      <charset val="238"/>
    </font>
    <font>
      <sz val="11"/>
      <color indexed="10"/>
      <name val="Calibri"/>
      <family val="2"/>
      <charset val="238"/>
    </font>
    <font>
      <sz val="11"/>
      <color indexed="62"/>
      <name val="Calibri"/>
      <family val="2"/>
      <charset val="238"/>
    </font>
    <font>
      <b/>
      <sz val="11"/>
      <color indexed="52"/>
      <name val="Calibri"/>
      <family val="2"/>
      <charset val="238"/>
    </font>
    <font>
      <b/>
      <sz val="11"/>
      <color indexed="63"/>
      <name val="Calibri"/>
      <family val="2"/>
      <charset val="238"/>
    </font>
    <font>
      <i/>
      <sz val="11"/>
      <color indexed="23"/>
      <name val="Calibri"/>
      <family val="2"/>
      <charset val="238"/>
    </font>
    <font>
      <sz val="8"/>
      <name val="Arial CE"/>
      <charset val="238"/>
    </font>
    <font>
      <b/>
      <sz val="12"/>
      <color indexed="56"/>
      <name val="Arial"/>
      <family val="2"/>
      <charset val="238"/>
    </font>
    <font>
      <sz val="12"/>
      <name val="Arial"/>
      <family val="2"/>
      <charset val="238"/>
    </font>
    <font>
      <sz val="11"/>
      <name val="Arial"/>
      <family val="2"/>
    </font>
    <font>
      <b/>
      <sz val="11"/>
      <name val="Arial"/>
      <family val="2"/>
      <charset val="238"/>
    </font>
    <font>
      <sz val="11"/>
      <name val="Arial"/>
      <family val="2"/>
      <charset val="238"/>
    </font>
    <font>
      <sz val="10"/>
      <name val="Arial"/>
      <family val="2"/>
      <charset val="238"/>
    </font>
    <font>
      <sz val="10"/>
      <name val="Arial"/>
      <family val="2"/>
      <charset val="238"/>
    </font>
    <font>
      <b/>
      <sz val="11"/>
      <color indexed="56"/>
      <name val="Arial"/>
      <family val="2"/>
    </font>
    <font>
      <sz val="11"/>
      <color indexed="8"/>
      <name val="Arial"/>
      <family val="2"/>
    </font>
    <font>
      <sz val="10"/>
      <name val="Arial"/>
      <family val="2"/>
    </font>
    <font>
      <sz val="9"/>
      <color theme="1"/>
      <name val="Calibri"/>
      <family val="2"/>
      <charset val="238"/>
      <scheme val="minor"/>
    </font>
    <font>
      <sz val="9"/>
      <color rgb="FFFF0000"/>
      <name val="Calibri"/>
      <family val="2"/>
      <charset val="238"/>
      <scheme val="minor"/>
    </font>
    <font>
      <sz val="11"/>
      <color rgb="FF000000"/>
      <name val="Arial1"/>
      <charset val="238"/>
    </font>
    <font>
      <sz val="11"/>
      <color rgb="FFFFFFFF"/>
      <name val="Calibri"/>
      <family val="2"/>
      <charset val="238"/>
    </font>
    <font>
      <b/>
      <sz val="11"/>
      <color rgb="FF000000"/>
      <name val="Calibri"/>
      <family val="2"/>
      <charset val="238"/>
    </font>
    <font>
      <b/>
      <i/>
      <sz val="16"/>
      <color rgb="FF000000"/>
      <name val="Arial1"/>
      <charset val="238"/>
    </font>
    <font>
      <sz val="11"/>
      <color rgb="FF800080"/>
      <name val="Calibri"/>
      <family val="2"/>
      <charset val="238"/>
    </font>
    <font>
      <b/>
      <sz val="11"/>
      <color rgb="FFFFFFFF"/>
      <name val="Calibri"/>
      <family val="2"/>
      <charset val="238"/>
    </font>
    <font>
      <b/>
      <sz val="18"/>
      <color rgb="FF003366"/>
      <name val="Cambria"/>
      <family val="1"/>
      <charset val="238"/>
    </font>
    <font>
      <b/>
      <sz val="15"/>
      <color rgb="FF003366"/>
      <name val="Calibri"/>
      <family val="2"/>
      <charset val="238"/>
    </font>
    <font>
      <b/>
      <sz val="13"/>
      <color rgb="FF003366"/>
      <name val="Calibri"/>
      <family val="2"/>
      <charset val="238"/>
    </font>
    <font>
      <b/>
      <sz val="11"/>
      <color rgb="FF003366"/>
      <name val="Calibri"/>
      <family val="2"/>
      <charset val="238"/>
    </font>
    <font>
      <sz val="11"/>
      <color rgb="FF993300"/>
      <name val="Calibri"/>
      <family val="2"/>
      <charset val="238"/>
    </font>
    <font>
      <sz val="10"/>
      <color rgb="FF000000"/>
      <name val="Arial1"/>
      <charset val="238"/>
    </font>
    <font>
      <sz val="10"/>
      <color rgb="FF000000"/>
      <name val="MS Sans Serif"/>
      <family val="2"/>
      <charset val="238"/>
    </font>
    <font>
      <sz val="10"/>
      <color rgb="FF000000"/>
      <name val="Arial"/>
      <family val="2"/>
      <charset val="238"/>
    </font>
    <font>
      <sz val="11"/>
      <color rgb="FFFF9900"/>
      <name val="Calibri"/>
      <family val="2"/>
      <charset val="238"/>
    </font>
    <font>
      <b/>
      <i/>
      <u/>
      <sz val="11"/>
      <color rgb="FF000000"/>
      <name val="Arial1"/>
      <charset val="238"/>
    </font>
    <font>
      <sz val="11"/>
      <color rgb="FF008000"/>
      <name val="Calibri"/>
      <family val="2"/>
      <charset val="238"/>
    </font>
    <font>
      <sz val="11"/>
      <color rgb="FFFF0000"/>
      <name val="Calibri"/>
      <family val="2"/>
      <charset val="238"/>
    </font>
    <font>
      <b/>
      <sz val="11"/>
      <color rgb="FFFF9900"/>
      <name val="Calibri"/>
      <family val="2"/>
      <charset val="238"/>
    </font>
    <font>
      <b/>
      <sz val="11"/>
      <color rgb="FF333333"/>
      <name val="Calibri"/>
      <family val="2"/>
      <charset val="238"/>
    </font>
    <font>
      <sz val="11"/>
      <color rgb="FF333399"/>
      <name val="Calibri"/>
      <family val="2"/>
      <charset val="238"/>
    </font>
    <font>
      <i/>
      <sz val="11"/>
      <color rgb="FF808080"/>
      <name val="Calibri"/>
      <family val="2"/>
      <charset val="238"/>
    </font>
    <font>
      <b/>
      <sz val="10"/>
      <color theme="1"/>
      <name val="Calibri"/>
      <family val="2"/>
      <charset val="238"/>
      <scheme val="minor"/>
    </font>
    <font>
      <b/>
      <sz val="11"/>
      <color theme="1"/>
      <name val="Calibri"/>
      <family val="2"/>
      <charset val="238"/>
      <scheme val="minor"/>
    </font>
    <font>
      <b/>
      <sz val="9"/>
      <color theme="1"/>
      <name val="Calibri"/>
      <family val="2"/>
      <charset val="238"/>
      <scheme val="minor"/>
    </font>
    <font>
      <sz val="10"/>
      <color theme="1"/>
      <name val="Calibri"/>
      <family val="2"/>
      <charset val="238"/>
      <scheme val="minor"/>
    </font>
    <font>
      <b/>
      <sz val="16"/>
      <color theme="1"/>
      <name val="Calibri"/>
      <family val="2"/>
      <charset val="238"/>
      <scheme val="minor"/>
    </font>
    <font>
      <b/>
      <sz val="12"/>
      <name val="Arial"/>
      <family val="2"/>
      <charset val="238"/>
    </font>
    <font>
      <b/>
      <sz val="12"/>
      <color indexed="12"/>
      <name val="Arial"/>
      <family val="2"/>
      <charset val="238"/>
    </font>
    <font>
      <b/>
      <sz val="11"/>
      <color indexed="56"/>
      <name val="Arial"/>
      <family val="2"/>
      <charset val="238"/>
    </font>
    <font>
      <b/>
      <sz val="11.5"/>
      <color indexed="56"/>
      <name val="Arial"/>
      <family val="2"/>
      <charset val="238"/>
    </font>
    <font>
      <sz val="12"/>
      <color indexed="8"/>
      <name val="Arial"/>
      <family val="2"/>
      <charset val="238"/>
    </font>
    <font>
      <sz val="12"/>
      <color indexed="12"/>
      <name val="Arial"/>
      <family val="2"/>
      <charset val="238"/>
    </font>
    <font>
      <b/>
      <sz val="12"/>
      <color indexed="30"/>
      <name val="Arial"/>
      <family val="2"/>
      <charset val="238"/>
    </font>
    <font>
      <i/>
      <sz val="12"/>
      <color indexed="62"/>
      <name val="Arial"/>
      <family val="2"/>
      <charset val="238"/>
    </font>
    <font>
      <i/>
      <sz val="12"/>
      <name val="Arial"/>
      <family val="2"/>
      <charset val="238"/>
    </font>
    <font>
      <b/>
      <i/>
      <sz val="12"/>
      <name val="Arial"/>
      <family val="2"/>
      <charset val="238"/>
    </font>
    <font>
      <sz val="11.5"/>
      <name val="Arial"/>
      <family val="2"/>
      <charset val="238"/>
    </font>
    <font>
      <sz val="8"/>
      <name val="Arial"/>
      <family val="2"/>
      <charset val="238"/>
    </font>
    <font>
      <sz val="8"/>
      <color theme="1"/>
      <name val="Arial"/>
      <family val="2"/>
      <charset val="238"/>
    </font>
    <font>
      <sz val="11"/>
      <color theme="0"/>
      <name val="Calibri"/>
      <family val="2"/>
      <charset val="238"/>
      <scheme val="minor"/>
    </font>
    <font>
      <sz val="9"/>
      <color theme="1"/>
      <name val="Arial"/>
      <family val="2"/>
      <charset val="238"/>
    </font>
    <font>
      <sz val="12"/>
      <color theme="1"/>
      <name val="Arial"/>
      <family val="2"/>
      <charset val="238"/>
    </font>
    <font>
      <u/>
      <sz val="11"/>
      <color theme="10"/>
      <name val="Calibri"/>
      <family val="2"/>
      <scheme val="minor"/>
    </font>
    <font>
      <sz val="10"/>
      <color rgb="FF000000"/>
      <name val="Arial ce"/>
    </font>
    <font>
      <b/>
      <sz val="10"/>
      <color indexed="56"/>
      <name val="Arial"/>
      <family val="2"/>
      <charset val="238"/>
    </font>
    <font>
      <sz val="9"/>
      <color theme="1" tint="4.9989318521683403E-2"/>
      <name val="Calibri"/>
      <family val="2"/>
      <charset val="238"/>
      <scheme val="minor"/>
    </font>
    <font>
      <b/>
      <sz val="12"/>
      <color indexed="8"/>
      <name val="Arial"/>
      <family val="2"/>
      <charset val="238"/>
    </font>
    <font>
      <sz val="11"/>
      <color rgb="FF000000"/>
      <name val="Calibri"/>
      <family val="2"/>
      <charset val="238"/>
    </font>
    <font>
      <b/>
      <sz val="12"/>
      <color rgb="FF000000"/>
      <name val="Arial"/>
      <family val="2"/>
      <charset val="238"/>
    </font>
    <font>
      <b/>
      <sz val="11"/>
      <color rgb="FF000000"/>
      <name val="Arial"/>
      <family val="2"/>
      <charset val="238"/>
    </font>
    <font>
      <sz val="11"/>
      <color rgb="FF000000"/>
      <name val="Arial"/>
      <family val="2"/>
      <charset val="238"/>
    </font>
    <font>
      <sz val="12"/>
      <color theme="1"/>
      <name val="Arial"/>
      <family val="2"/>
    </font>
    <font>
      <b/>
      <sz val="12"/>
      <name val="Arial"/>
      <family val="2"/>
    </font>
    <font>
      <b/>
      <sz val="12"/>
      <color indexed="30"/>
      <name val="Arial"/>
      <family val="2"/>
    </font>
    <font>
      <i/>
      <sz val="12"/>
      <color indexed="62"/>
      <name val="Arial"/>
      <family val="2"/>
    </font>
    <font>
      <b/>
      <sz val="12"/>
      <color rgb="FF000000"/>
      <name val="Arial"/>
      <family val="2"/>
    </font>
    <font>
      <sz val="11.5"/>
      <name val="Arial"/>
      <family val="2"/>
    </font>
    <font>
      <i/>
      <sz val="12"/>
      <name val="Arial"/>
      <family val="2"/>
    </font>
    <font>
      <b/>
      <sz val="12"/>
      <color indexed="12"/>
      <name val="Arial"/>
      <family val="2"/>
    </font>
    <font>
      <sz val="12"/>
      <color rgb="FF000000"/>
      <name val="Arial"/>
      <family val="2"/>
      <charset val="238"/>
    </font>
    <font>
      <sz val="12"/>
      <color rgb="FF000000"/>
      <name val="Arial"/>
      <family val="2"/>
    </font>
    <font>
      <b/>
      <sz val="11"/>
      <color rgb="FF000000"/>
      <name val="Arial ce"/>
    </font>
    <font>
      <b/>
      <sz val="11"/>
      <color rgb="FF000000"/>
      <name val="Arial"/>
      <family val="2"/>
    </font>
    <font>
      <b/>
      <sz val="10"/>
      <name val="Arial CE"/>
      <charset val="238"/>
    </font>
    <font>
      <sz val="14"/>
      <color theme="1"/>
      <name val="Calibri"/>
      <family val="2"/>
      <charset val="238"/>
      <scheme val="minor"/>
    </font>
    <font>
      <b/>
      <sz val="14"/>
      <name val="Calibri"/>
      <family val="2"/>
      <charset val="238"/>
      <scheme val="minor"/>
    </font>
    <font>
      <i/>
      <sz val="14"/>
      <name val="Calibri"/>
      <family val="2"/>
      <charset val="238"/>
      <scheme val="minor"/>
    </font>
    <font>
      <sz val="14"/>
      <name val="Calibri"/>
      <family val="2"/>
      <charset val="238"/>
      <scheme val="minor"/>
    </font>
    <font>
      <sz val="14"/>
      <color rgb="FF000000"/>
      <name val="Calibri"/>
      <family val="2"/>
      <charset val="238"/>
      <scheme val="minor"/>
    </font>
    <font>
      <b/>
      <sz val="14"/>
      <color rgb="FF000000"/>
      <name val="Calibri"/>
      <family val="2"/>
      <charset val="238"/>
      <scheme val="minor"/>
    </font>
    <font>
      <b/>
      <sz val="14"/>
      <color indexed="12"/>
      <name val="Calibri"/>
      <family val="2"/>
      <charset val="238"/>
      <scheme val="minor"/>
    </font>
    <font>
      <b/>
      <sz val="14"/>
      <color indexed="30"/>
      <name val="Calibri"/>
      <family val="2"/>
      <charset val="238"/>
      <scheme val="minor"/>
    </font>
    <font>
      <i/>
      <sz val="14"/>
      <color indexed="62"/>
      <name val="Calibri"/>
      <family val="2"/>
      <charset val="238"/>
      <scheme val="minor"/>
    </font>
    <font>
      <b/>
      <i/>
      <sz val="14"/>
      <name val="Calibri"/>
      <family val="2"/>
      <charset val="238"/>
      <scheme val="minor"/>
    </font>
    <font>
      <b/>
      <sz val="26"/>
      <name val="Calibri"/>
      <family val="2"/>
      <charset val="238"/>
      <scheme val="minor"/>
    </font>
    <font>
      <sz val="26"/>
      <name val="Calibri"/>
      <family val="2"/>
      <charset val="238"/>
      <scheme val="minor"/>
    </font>
    <font>
      <sz val="14"/>
      <color indexed="8"/>
      <name val="Calibri"/>
      <family val="2"/>
      <charset val="238"/>
      <scheme val="minor"/>
    </font>
    <font>
      <sz val="14"/>
      <name val="Calibri"/>
      <family val="2"/>
      <scheme val="minor"/>
    </font>
    <font>
      <b/>
      <sz val="14"/>
      <name val="Calibri"/>
      <family val="2"/>
      <scheme val="minor"/>
    </font>
    <font>
      <b/>
      <sz val="14"/>
      <color rgb="FF000000"/>
      <name val="Calibri"/>
      <family val="2"/>
      <charset val="238"/>
    </font>
    <font>
      <sz val="14"/>
      <color rgb="FF000000"/>
      <name val="Calibri"/>
      <family val="2"/>
      <charset val="238"/>
    </font>
    <font>
      <sz val="26"/>
      <name val="Calibri"/>
      <family val="2"/>
      <scheme val="minor"/>
    </font>
    <font>
      <b/>
      <sz val="26"/>
      <name val="Calibri"/>
      <family val="2"/>
      <scheme val="minor"/>
    </font>
    <font>
      <sz val="14"/>
      <color theme="1"/>
      <name val="Calibri"/>
      <family val="2"/>
      <scheme val="minor"/>
    </font>
    <font>
      <b/>
      <sz val="14"/>
      <color rgb="FF000000"/>
      <name val="Calibri"/>
      <family val="2"/>
      <scheme val="minor"/>
    </font>
    <font>
      <sz val="14"/>
      <color rgb="FF000000"/>
      <name val="Calibri"/>
      <family val="2"/>
      <scheme val="minor"/>
    </font>
    <font>
      <sz val="8"/>
      <color rgb="FF1A1C1E"/>
      <name val="Arial"/>
      <family val="2"/>
      <charset val="238"/>
    </font>
    <font>
      <sz val="14"/>
      <color theme="0"/>
      <name val="Calibri"/>
      <family val="2"/>
      <charset val="238"/>
      <scheme val="minor"/>
    </font>
    <font>
      <b/>
      <sz val="14"/>
      <color theme="0"/>
      <name val="Calibri"/>
      <family val="2"/>
      <charset val="238"/>
      <scheme val="minor"/>
    </font>
    <font>
      <sz val="10"/>
      <name val="Arial Unicode MS"/>
    </font>
    <font>
      <sz val="14"/>
      <color rgb="FFFF0000"/>
      <name val="Calibri"/>
      <family val="2"/>
      <charset val="238"/>
      <scheme val="minor"/>
    </font>
    <font>
      <b/>
      <sz val="14"/>
      <color rgb="FF000000"/>
      <name val="Calibri"/>
      <scheme val="minor"/>
    </font>
    <font>
      <sz val="14"/>
      <color rgb="FF000000"/>
      <name val="Calibri"/>
      <scheme val="minor"/>
    </font>
    <font>
      <b/>
      <sz val="14"/>
      <color rgb="FF000000"/>
      <name val="Calibri"/>
    </font>
    <font>
      <sz val="14"/>
      <color rgb="FF000000"/>
      <name val="Calibri"/>
    </font>
    <font>
      <b/>
      <sz val="13"/>
      <color rgb="FFFFFFFF"/>
      <name val="Arial"/>
    </font>
    <font>
      <i/>
      <sz val="9"/>
      <color rgb="FFBDD7EE"/>
      <name val="Arial"/>
    </font>
    <font>
      <b/>
      <sz val="9"/>
      <color rgb="FFFFFFFF"/>
      <name val="Arial"/>
    </font>
    <font>
      <b/>
      <sz val="10"/>
      <color rgb="FF003087"/>
      <name val="Arial"/>
    </font>
    <font>
      <b/>
      <sz val="16"/>
      <color rgb="FF003087"/>
      <name val="Arial"/>
    </font>
    <font>
      <sz val="10"/>
      <color rgb="FFFFFFFF"/>
      <name val="Arial"/>
    </font>
    <font>
      <sz val="10"/>
      <color rgb="FF1A1A2E"/>
      <name val="Arial"/>
    </font>
    <font>
      <b/>
      <sz val="10"/>
      <color rgb="FFFFFFFF"/>
      <name val="Arial"/>
    </font>
  </fonts>
  <fills count="8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4"/>
        <bgColor indexed="64"/>
      </patternFill>
    </fill>
    <fill>
      <patternFill patternType="solid">
        <fgColor indexed="42"/>
        <bgColor indexed="64"/>
      </patternFill>
    </fill>
    <fill>
      <patternFill patternType="solid">
        <fgColor indexed="13"/>
        <bgColor indexed="64"/>
      </patternFill>
    </fill>
    <fill>
      <patternFill patternType="solid">
        <fgColor indexed="31"/>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rgb="FF0066CC"/>
        <bgColor rgb="FF0066CC"/>
      </patternFill>
    </fill>
    <fill>
      <patternFill patternType="solid">
        <fgColor rgb="FF800080"/>
        <bgColor rgb="FF800080"/>
      </patternFill>
    </fill>
    <fill>
      <patternFill patternType="solid">
        <fgColor rgb="FF33CCCC"/>
        <bgColor rgb="FF33CCCC"/>
      </patternFill>
    </fill>
    <fill>
      <patternFill patternType="solid">
        <fgColor rgb="FFFF9900"/>
        <bgColor rgb="FFFF9900"/>
      </patternFill>
    </fill>
    <fill>
      <patternFill patternType="solid">
        <fgColor rgb="FF969696"/>
        <bgColor rgb="FF969696"/>
      </patternFill>
    </fill>
    <fill>
      <patternFill patternType="solid">
        <fgColor rgb="FFFFFF99"/>
        <bgColor rgb="FFFFFF99"/>
      </patternFill>
    </fill>
    <fill>
      <patternFill patternType="solid">
        <fgColor rgb="FFFFFFCC"/>
        <bgColor rgb="FFFFFFCC"/>
      </patternFill>
    </fill>
    <fill>
      <patternFill patternType="solid">
        <fgColor rgb="FFC0C0C0"/>
        <bgColor rgb="FFC0C0C0"/>
      </patternFill>
    </fill>
    <fill>
      <patternFill patternType="solid">
        <fgColor rgb="FF333399"/>
        <bgColor rgb="FF333399"/>
      </patternFill>
    </fill>
    <fill>
      <patternFill patternType="solid">
        <fgColor rgb="FFFF0000"/>
        <bgColor rgb="FFFF0000"/>
      </patternFill>
    </fill>
    <fill>
      <patternFill patternType="solid">
        <fgColor rgb="FF339966"/>
        <bgColor rgb="FF339966"/>
      </patternFill>
    </fill>
    <fill>
      <patternFill patternType="solid">
        <fgColor rgb="FFFF6600"/>
        <bgColor rgb="FFFF6600"/>
      </patternFill>
    </fill>
    <fill>
      <patternFill patternType="solid">
        <fgColor theme="0" tint="-0.499984740745262"/>
        <bgColor indexed="64"/>
      </patternFill>
    </fill>
    <fill>
      <patternFill patternType="solid">
        <fgColor rgb="FFE1FFE1"/>
        <bgColor indexed="64"/>
      </patternFill>
    </fill>
    <fill>
      <patternFill patternType="solid">
        <fgColor rgb="FFCCCCFF"/>
        <bgColor indexed="64"/>
      </patternFill>
    </fill>
    <fill>
      <patternFill patternType="solid">
        <fgColor theme="8"/>
      </patternFill>
    </fill>
    <fill>
      <patternFill patternType="solid">
        <fgColor rgb="FFC9C9C9"/>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1" tint="0.499984740745262"/>
        <bgColor indexed="64"/>
      </patternFill>
    </fill>
    <fill>
      <patternFill patternType="solid">
        <fgColor rgb="FF92D050"/>
        <bgColor indexed="64"/>
      </patternFill>
    </fill>
    <fill>
      <patternFill patternType="solid">
        <fgColor theme="9"/>
        <bgColor indexed="64"/>
      </patternFill>
    </fill>
    <fill>
      <patternFill patternType="solid">
        <fgColor theme="4" tint="0.39997558519241921"/>
        <bgColor indexed="64"/>
      </patternFill>
    </fill>
    <fill>
      <patternFill patternType="solid">
        <fgColor rgb="FFD6EAF8"/>
        <bgColor indexed="64"/>
      </patternFill>
    </fill>
    <fill>
      <patternFill patternType="solid">
        <fgColor rgb="FFFDEBD0"/>
        <bgColor indexed="64"/>
      </patternFill>
    </fill>
    <fill>
      <patternFill patternType="solid">
        <fgColor rgb="FFE4ECF4"/>
        <bgColor indexed="64"/>
      </patternFill>
    </fill>
    <fill>
      <patternFill patternType="solid">
        <fgColor theme="0"/>
        <bgColor theme="0"/>
      </patternFill>
    </fill>
    <fill>
      <patternFill patternType="solid">
        <fgColor theme="9" tint="0.39997558519241921"/>
        <bgColor indexed="64"/>
      </patternFill>
    </fill>
    <fill>
      <patternFill patternType="solid">
        <fgColor rgb="FFFF0000"/>
        <bgColor indexed="64"/>
      </patternFill>
    </fill>
    <fill>
      <patternFill patternType="solid">
        <fgColor rgb="FF003087"/>
        <bgColor indexed="64"/>
      </patternFill>
    </fill>
    <fill>
      <patternFill patternType="solid">
        <fgColor rgb="FF1565C0"/>
        <bgColor indexed="64"/>
      </patternFill>
    </fill>
    <fill>
      <patternFill patternType="solid">
        <fgColor rgb="FFFFFFFF"/>
        <bgColor indexed="64"/>
      </patternFill>
    </fill>
    <fill>
      <patternFill patternType="solid">
        <fgColor rgb="FFE8F0FE"/>
        <bgColor indexed="64"/>
      </patternFill>
    </fill>
    <fill>
      <patternFill patternType="solid">
        <fgColor rgb="FFBDD7EE"/>
        <bgColor indexed="64"/>
      </patternFill>
    </fill>
  </fills>
  <borders count="184">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theme="0" tint="-0.24994659260841701"/>
      </right>
      <top style="thin">
        <color theme="0" tint="-0.24994659260841701"/>
      </top>
      <bottom style="thin">
        <color theme="0" tint="-0.2499465926084170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top style="thin">
        <color rgb="FF333399"/>
      </top>
      <bottom style="double">
        <color rgb="FF333399"/>
      </bottom>
      <diagonal/>
    </border>
    <border>
      <left style="double">
        <color rgb="FF333333"/>
      </left>
      <right style="double">
        <color rgb="FF333333"/>
      </right>
      <top style="double">
        <color rgb="FF333333"/>
      </top>
      <bottom style="double">
        <color rgb="FF333333"/>
      </bottom>
      <diagonal/>
    </border>
    <border>
      <left/>
      <right/>
      <top/>
      <bottom style="thin">
        <color rgb="FF333399"/>
      </bottom>
      <diagonal/>
    </border>
    <border>
      <left/>
      <right/>
      <top/>
      <bottom style="thin">
        <color rgb="FFC0C0C0"/>
      </bottom>
      <diagonal/>
    </border>
    <border>
      <left/>
      <right/>
      <top/>
      <bottom style="thin">
        <color rgb="FF0066CC"/>
      </bottom>
      <diagonal/>
    </border>
    <border>
      <left style="thin">
        <color rgb="FFC0C0C0"/>
      </left>
      <right style="thin">
        <color rgb="FFC0C0C0"/>
      </right>
      <top style="thin">
        <color rgb="FFC0C0C0"/>
      </top>
      <bottom style="thin">
        <color rgb="FFC0C0C0"/>
      </bottom>
      <diagonal/>
    </border>
    <border>
      <left/>
      <right/>
      <top/>
      <bottom style="double">
        <color rgb="FFFF9900"/>
      </bottom>
      <diagonal/>
    </border>
    <border>
      <left style="thin">
        <color rgb="FF808080"/>
      </left>
      <right style="thin">
        <color rgb="FF808080"/>
      </right>
      <top style="thin">
        <color rgb="FF808080"/>
      </top>
      <bottom style="thin">
        <color rgb="FF808080"/>
      </bottom>
      <diagonal/>
    </border>
    <border>
      <left style="thin">
        <color rgb="FF333333"/>
      </left>
      <right style="thin">
        <color rgb="FF333333"/>
      </right>
      <top style="thin">
        <color rgb="FF333333"/>
      </top>
      <bottom style="thin">
        <color rgb="FF333333"/>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bottom style="thin">
        <color rgb="FF000000"/>
      </bottom>
      <diagonal/>
    </border>
    <border>
      <left style="thin">
        <color rgb="FF000000"/>
      </left>
      <right style="thin">
        <color indexed="64"/>
      </right>
      <top style="thin">
        <color indexed="64"/>
      </top>
      <bottom style="thin">
        <color indexed="64"/>
      </bottom>
      <diagonal/>
    </border>
    <border>
      <left style="medium">
        <color rgb="FF000000"/>
      </left>
      <right style="thin">
        <color indexed="64"/>
      </right>
      <top/>
      <bottom/>
      <diagonal/>
    </border>
    <border>
      <left style="thin">
        <color rgb="FF000000"/>
      </left>
      <right/>
      <top/>
      <bottom style="thin">
        <color rgb="FF000000"/>
      </bottom>
      <diagonal/>
    </border>
    <border>
      <left style="thin">
        <color rgb="FF000000"/>
      </left>
      <right style="medium">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indexed="64"/>
      </right>
      <top/>
      <bottom/>
      <diagonal/>
    </border>
    <border>
      <left/>
      <right/>
      <top style="thin">
        <color rgb="FF000000"/>
      </top>
      <bottom/>
      <diagonal/>
    </border>
    <border>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style="medium">
        <color rgb="FF000000"/>
      </right>
      <top style="medium">
        <color indexed="64"/>
      </top>
      <bottom style="medium">
        <color indexed="64"/>
      </bottom>
      <diagonal/>
    </border>
    <border>
      <left style="thin">
        <color indexed="64"/>
      </left>
      <right/>
      <top style="thin">
        <color indexed="64"/>
      </top>
      <bottom style="thin">
        <color rgb="FF000000"/>
      </bottom>
      <diagonal/>
    </border>
    <border>
      <left style="thin">
        <color rgb="FF000000"/>
      </left>
      <right style="thin">
        <color rgb="FF000000"/>
      </right>
      <top/>
      <bottom/>
      <diagonal/>
    </border>
    <border>
      <left style="thin">
        <color indexed="64"/>
      </left>
      <right style="thin">
        <color indexed="64"/>
      </right>
      <top style="thin">
        <color rgb="FF000000"/>
      </top>
      <bottom style="thin">
        <color indexed="64"/>
      </bottom>
      <diagonal/>
    </border>
    <border>
      <left style="thin">
        <color indexed="64"/>
      </left>
      <right style="medium">
        <color rgb="FF000000"/>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medium">
        <color rgb="FF000000"/>
      </top>
      <bottom style="medium">
        <color rgb="FF000000"/>
      </bottom>
      <diagonal/>
    </border>
    <border>
      <left/>
      <right style="thin">
        <color indexed="64"/>
      </right>
      <top style="thin">
        <color indexed="64"/>
      </top>
      <bottom style="thin">
        <color rgb="FF000000"/>
      </bottom>
      <diagonal/>
    </border>
    <border>
      <left style="thin">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bottom/>
      <diagonal/>
    </border>
    <border>
      <left/>
      <right style="thin">
        <color rgb="FF000000"/>
      </right>
      <top/>
      <bottom style="thin">
        <color rgb="FF000000"/>
      </bottom>
      <diagonal/>
    </border>
    <border>
      <left style="thin">
        <color indexed="64"/>
      </left>
      <right style="medium">
        <color indexed="64"/>
      </right>
      <top style="medium">
        <color rgb="FF000000"/>
      </top>
      <bottom style="medium">
        <color rgb="FF000000"/>
      </bottom>
      <diagonal/>
    </border>
    <border>
      <left style="thin">
        <color indexed="64"/>
      </left>
      <right style="thin">
        <color indexed="64"/>
      </right>
      <top/>
      <bottom style="thin">
        <color rgb="FF000000"/>
      </bottom>
      <diagonal/>
    </border>
    <border>
      <left/>
      <right style="thin">
        <color indexed="64"/>
      </right>
      <top/>
      <bottom style="medium">
        <color rgb="FF000000"/>
      </bottom>
      <diagonal/>
    </border>
    <border>
      <left style="thin">
        <color indexed="64"/>
      </left>
      <right/>
      <top style="thin">
        <color indexed="64"/>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rgb="FF000000"/>
      </top>
      <bottom style="thin">
        <color rgb="FF000000"/>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indexed="64"/>
      </left>
      <right/>
      <top/>
      <bottom style="thin">
        <color auto="1"/>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rgb="FF000000"/>
      </bottom>
      <diagonal/>
    </border>
    <border>
      <left/>
      <right/>
      <top style="medium">
        <color rgb="FF000000"/>
      </top>
      <bottom style="medium">
        <color rgb="FF000000"/>
      </bottom>
      <diagonal/>
    </border>
    <border>
      <left style="medium">
        <color rgb="FF000000"/>
      </left>
      <right style="thin">
        <color indexed="64"/>
      </right>
      <top/>
      <bottom style="medium">
        <color rgb="FF000000"/>
      </bottom>
      <diagonal/>
    </border>
    <border>
      <left style="thin">
        <color indexed="64"/>
      </left>
      <right style="medium">
        <color indexed="64"/>
      </right>
      <top/>
      <bottom style="medium">
        <color rgb="FF000000"/>
      </bottom>
      <diagonal/>
    </border>
    <border>
      <left style="thin">
        <color indexed="64"/>
      </left>
      <right style="medium">
        <color indexed="64"/>
      </right>
      <top/>
      <bottom/>
      <diagonal/>
    </border>
    <border>
      <left/>
      <right/>
      <top style="thin">
        <color rgb="FF000000"/>
      </top>
      <bottom style="thin">
        <color rgb="FF000000"/>
      </bottom>
      <diagonal/>
    </border>
    <border>
      <left style="thin">
        <color indexed="64"/>
      </left>
      <right style="thin">
        <color indexed="64"/>
      </right>
      <top style="medium">
        <color rgb="FF000000"/>
      </top>
      <bottom/>
      <diagonal/>
    </border>
    <border>
      <left style="thin">
        <color indexed="64"/>
      </left>
      <right style="thin">
        <color indexed="64"/>
      </right>
      <top style="medium">
        <color rgb="FF000000"/>
      </top>
      <bottom style="thin">
        <color indexed="64"/>
      </bottom>
      <diagonal/>
    </border>
    <border>
      <left style="thin">
        <color rgb="FF000000"/>
      </left>
      <right style="thin">
        <color indexed="64"/>
      </right>
      <top/>
      <bottom style="thin">
        <color rgb="FF000000"/>
      </bottom>
      <diagonal/>
    </border>
    <border>
      <left/>
      <right/>
      <top style="medium">
        <color rgb="FF000000"/>
      </top>
      <bottom/>
      <diagonal/>
    </border>
    <border>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thin">
        <color indexed="64"/>
      </right>
      <top style="medium">
        <color rgb="FF000000"/>
      </top>
      <bottom/>
      <diagonal/>
    </border>
    <border>
      <left style="thin">
        <color indexed="64"/>
      </left>
      <right style="medium">
        <color indexed="64"/>
      </right>
      <top style="medium">
        <color rgb="FF000000"/>
      </top>
      <bottom/>
      <diagonal/>
    </border>
    <border>
      <left style="thin">
        <color indexed="64"/>
      </left>
      <right/>
      <top/>
      <bottom style="medium">
        <color indexed="64"/>
      </bottom>
      <diagonal/>
    </border>
    <border>
      <left style="medium">
        <color rgb="FF000000"/>
      </left>
      <right/>
      <top style="medium">
        <color rgb="FF000000"/>
      </top>
      <bottom style="medium">
        <color rgb="FF000000"/>
      </bottom>
      <diagonal/>
    </border>
    <border>
      <left style="thin">
        <color indexed="64"/>
      </left>
      <right/>
      <top style="medium">
        <color rgb="FF000000"/>
      </top>
      <bottom style="thin">
        <color indexed="64"/>
      </bottom>
      <diagonal/>
    </border>
    <border>
      <left style="thin">
        <color indexed="64"/>
      </left>
      <right/>
      <top/>
      <bottom style="medium">
        <color rgb="FF000000"/>
      </bottom>
      <diagonal/>
    </border>
    <border>
      <left/>
      <right style="thin">
        <color rgb="FF000000"/>
      </right>
      <top style="thin">
        <color indexed="64"/>
      </top>
      <bottom style="medium">
        <color indexed="64"/>
      </bottom>
      <diagonal/>
    </border>
    <border>
      <left style="thin">
        <color indexed="64"/>
      </left>
      <right style="medium">
        <color rgb="FF000000"/>
      </right>
      <top/>
      <bottom/>
      <diagonal/>
    </border>
    <border>
      <left/>
      <right style="thin">
        <color indexed="64"/>
      </right>
      <top/>
      <bottom style="thin">
        <color rgb="FF000000"/>
      </bottom>
      <diagonal/>
    </border>
    <border>
      <left/>
      <right/>
      <top style="thin">
        <color indexed="64"/>
      </top>
      <bottom/>
      <diagonal/>
    </border>
    <border>
      <left style="thin">
        <color rgb="FF000000"/>
      </left>
      <right style="thin">
        <color rgb="FF000000"/>
      </right>
      <top style="thin">
        <color indexed="64"/>
      </top>
      <bottom style="thin">
        <color rgb="FF000000"/>
      </bottom>
      <diagonal/>
    </border>
    <border>
      <left style="thin">
        <color indexed="64"/>
      </left>
      <right/>
      <top style="thin">
        <color rgb="FF000000"/>
      </top>
      <bottom/>
      <diagonal/>
    </border>
    <border>
      <left style="thin">
        <color indexed="64"/>
      </left>
      <right/>
      <top style="medium">
        <color indexed="64"/>
      </top>
      <bottom style="medium">
        <color indexed="64"/>
      </bottom>
      <diagonal/>
    </border>
    <border>
      <left style="thin">
        <color indexed="64"/>
      </left>
      <right/>
      <top style="medium">
        <color rgb="FF000000"/>
      </top>
      <bottom/>
      <diagonal/>
    </border>
    <border>
      <left style="thin">
        <color indexed="64"/>
      </left>
      <right/>
      <top style="medium">
        <color rgb="FF000000"/>
      </top>
      <bottom style="medium">
        <color rgb="FF000000"/>
      </bottom>
      <diagonal/>
    </border>
    <border>
      <left style="thin">
        <color indexed="64"/>
      </left>
      <right/>
      <top style="medium">
        <color rgb="FF000000"/>
      </top>
      <bottom style="medium">
        <color indexed="64"/>
      </bottom>
      <diagonal/>
    </border>
    <border>
      <left/>
      <right/>
      <top style="medium">
        <color rgb="FF000000"/>
      </top>
      <bottom style="medium">
        <color indexed="64"/>
      </bottom>
      <diagonal/>
    </border>
    <border>
      <left/>
      <right style="thin">
        <color indexed="64"/>
      </right>
      <top style="medium">
        <color rgb="FF000000"/>
      </top>
      <bottom style="medium">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rgb="FF000000"/>
      </top>
      <bottom style="medium">
        <color indexed="64"/>
      </bottom>
      <diagonal/>
    </border>
    <border>
      <left/>
      <right/>
      <top style="thin">
        <color rgb="FF000000"/>
      </top>
      <bottom style="medium">
        <color indexed="64"/>
      </bottom>
      <diagonal/>
    </border>
    <border>
      <left/>
      <right style="thin">
        <color indexed="64"/>
      </right>
      <top style="thin">
        <color rgb="FF000000"/>
      </top>
      <bottom style="medium">
        <color indexed="64"/>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right/>
      <top style="medium">
        <color rgb="FF1565C0"/>
      </top>
      <bottom/>
      <diagonal/>
    </border>
    <border>
      <left style="medium">
        <color rgb="FF1565C0"/>
      </left>
      <right/>
      <top style="medium">
        <color rgb="FF1565C0"/>
      </top>
      <bottom style="medium">
        <color rgb="FF1565C0"/>
      </bottom>
      <diagonal/>
    </border>
    <border>
      <left style="medium">
        <color rgb="FF1565C0"/>
      </left>
      <right/>
      <top style="medium">
        <color rgb="FF1565C0"/>
      </top>
      <bottom/>
      <diagonal/>
    </border>
    <border>
      <left style="medium">
        <color rgb="FF1565C0"/>
      </left>
      <right/>
      <top/>
      <bottom style="medium">
        <color rgb="FF1565C0"/>
      </bottom>
      <diagonal/>
    </border>
    <border>
      <left style="medium">
        <color rgb="FF1565C0"/>
      </left>
      <right/>
      <top/>
      <bottom/>
      <diagonal/>
    </border>
    <border>
      <left style="medium">
        <color rgb="FF1565C0"/>
      </left>
      <right style="medium">
        <color rgb="FF1565C0"/>
      </right>
      <top style="medium">
        <color rgb="FF1565C0"/>
      </top>
      <bottom style="medium">
        <color rgb="FF1565C0"/>
      </bottom>
      <diagonal/>
    </border>
    <border>
      <left/>
      <right style="medium">
        <color rgb="FF1565C0"/>
      </right>
      <top style="medium">
        <color rgb="FF1565C0"/>
      </top>
      <bottom/>
      <diagonal/>
    </border>
    <border>
      <left/>
      <right style="medium">
        <color rgb="FF1565C0"/>
      </right>
      <top/>
      <bottom style="medium">
        <color rgb="FF1565C0"/>
      </bottom>
      <diagonal/>
    </border>
    <border>
      <left/>
      <right style="medium">
        <color rgb="FF1565C0"/>
      </right>
      <top/>
      <bottom/>
      <diagonal/>
    </border>
    <border>
      <left style="medium">
        <color rgb="FF1565C0"/>
      </left>
      <right style="medium">
        <color rgb="FF1565C0"/>
      </right>
      <top style="medium">
        <color rgb="FF003087"/>
      </top>
      <bottom style="medium">
        <color rgb="FF1565C0"/>
      </bottom>
      <diagonal/>
    </border>
    <border>
      <left/>
      <right style="medium">
        <color rgb="FF1565C0"/>
      </right>
      <top style="medium">
        <color rgb="FF1565C0"/>
      </top>
      <bottom style="medium">
        <color rgb="FF1565C0"/>
      </bottom>
      <diagonal/>
    </border>
    <border>
      <left style="thin">
        <color rgb="FF1565C0"/>
      </left>
      <right style="thin">
        <color rgb="FF1565C0"/>
      </right>
      <top style="thin">
        <color rgb="FF1565C0"/>
      </top>
      <bottom style="thin">
        <color rgb="FF1565C0"/>
      </bottom>
      <diagonal/>
    </border>
  </borders>
  <cellStyleXfs count="145">
    <xf numFmtId="0" fontId="0" fillId="0" borderId="0"/>
    <xf numFmtId="0" fontId="4" fillId="2" borderId="0"/>
    <xf numFmtId="0" fontId="4" fillId="3" borderId="0"/>
    <xf numFmtId="0" fontId="4" fillId="4" borderId="0"/>
    <xf numFmtId="0" fontId="4" fillId="5" borderId="0"/>
    <xf numFmtId="0" fontId="4" fillId="6" borderId="0"/>
    <xf numFmtId="0" fontId="4" fillId="7" borderId="0"/>
    <xf numFmtId="0" fontId="4" fillId="8" borderId="0"/>
    <xf numFmtId="0" fontId="4" fillId="9" borderId="0"/>
    <xf numFmtId="0" fontId="4" fillId="10" borderId="0"/>
    <xf numFmtId="0" fontId="4" fillId="5" borderId="0"/>
    <xf numFmtId="0" fontId="4" fillId="8" borderId="0"/>
    <xf numFmtId="0" fontId="4" fillId="11" borderId="0"/>
    <xf numFmtId="0" fontId="5" fillId="12" borderId="0"/>
    <xf numFmtId="0" fontId="5" fillId="9" borderId="0"/>
    <xf numFmtId="0" fontId="5" fillId="10" borderId="0"/>
    <xf numFmtId="0" fontId="5" fillId="13" borderId="0"/>
    <xf numFmtId="0" fontId="5" fillId="14" borderId="0"/>
    <xf numFmtId="0" fontId="5" fillId="15" borderId="0"/>
    <xf numFmtId="0" fontId="5" fillId="16" borderId="0"/>
    <xf numFmtId="0" fontId="5" fillId="17" borderId="0"/>
    <xf numFmtId="0" fontId="5" fillId="18" borderId="0"/>
    <xf numFmtId="0" fontId="5" fillId="13" borderId="0"/>
    <xf numFmtId="0" fontId="5" fillId="19" borderId="0"/>
    <xf numFmtId="0" fontId="7" fillId="3" borderId="0"/>
    <xf numFmtId="0" fontId="18" fillId="20" borderId="61"/>
    <xf numFmtId="0" fontId="20" fillId="0" borderId="0"/>
    <xf numFmtId="0" fontId="15" fillId="4" borderId="0"/>
    <xf numFmtId="0" fontId="9" fillId="0" borderId="1"/>
    <xf numFmtId="0" fontId="10" fillId="0" borderId="2"/>
    <xf numFmtId="0" fontId="11" fillId="0" borderId="3"/>
    <xf numFmtId="0" fontId="11" fillId="0" borderId="0"/>
    <xf numFmtId="0" fontId="8" fillId="21" borderId="4"/>
    <xf numFmtId="0" fontId="17" fillId="7" borderId="61"/>
    <xf numFmtId="0" fontId="14" fillId="0" borderId="5"/>
    <xf numFmtId="0" fontId="13" fillId="22" borderId="0"/>
    <xf numFmtId="0" fontId="2" fillId="23" borderId="63"/>
    <xf numFmtId="0" fontId="19" fillId="20" borderId="64"/>
    <xf numFmtId="0" fontId="12" fillId="0" borderId="0"/>
    <xf numFmtId="0" fontId="6" fillId="0" borderId="62"/>
    <xf numFmtId="0" fontId="16" fillId="0" borderId="0"/>
    <xf numFmtId="0" fontId="1" fillId="0" borderId="0"/>
    <xf numFmtId="0" fontId="28" fillId="0" borderId="0"/>
    <xf numFmtId="0" fontId="28" fillId="0" borderId="0"/>
    <xf numFmtId="0" fontId="28" fillId="0" borderId="0"/>
    <xf numFmtId="0" fontId="2" fillId="0" borderId="0"/>
    <xf numFmtId="0" fontId="34" fillId="0" borderId="0"/>
    <xf numFmtId="0" fontId="40" fillId="0" borderId="0"/>
    <xf numFmtId="0" fontId="41" fillId="0" borderId="48"/>
    <xf numFmtId="0" fontId="42" fillId="0" borderId="49"/>
    <xf numFmtId="0" fontId="43" fillId="0" borderId="50"/>
    <xf numFmtId="0" fontId="43" fillId="0" borderId="0"/>
    <xf numFmtId="0" fontId="50" fillId="42" borderId="0"/>
    <xf numFmtId="0" fontId="38" fillId="41" borderId="0"/>
    <xf numFmtId="0" fontId="44" fillId="55" borderId="0"/>
    <xf numFmtId="0" fontId="54" fillId="45" borderId="53"/>
    <xf numFmtId="0" fontId="53" fillId="57" borderId="54"/>
    <xf numFmtId="0" fontId="52" fillId="57" borderId="53"/>
    <xf numFmtId="0" fontId="48" fillId="0" borderId="52"/>
    <xf numFmtId="0" fontId="39" fillId="54" borderId="47"/>
    <xf numFmtId="0" fontId="51" fillId="0" borderId="0"/>
    <xf numFmtId="0" fontId="34" fillId="56" borderId="51"/>
    <xf numFmtId="0" fontId="55" fillId="0" borderId="0"/>
    <xf numFmtId="0" fontId="36" fillId="0" borderId="46"/>
    <xf numFmtId="0" fontId="35" fillId="58" borderId="0"/>
    <xf numFmtId="0" fontId="82" fillId="40" borderId="0"/>
    <xf numFmtId="0" fontId="82" fillId="46" borderId="0"/>
    <xf numFmtId="0" fontId="35" fillId="50" borderId="0"/>
    <xf numFmtId="0" fontId="35" fillId="59" borderId="0"/>
    <xf numFmtId="0" fontId="82" fillId="41" borderId="0"/>
    <xf numFmtId="0" fontId="82" fillId="47" borderId="0"/>
    <xf numFmtId="0" fontId="35" fillId="47" borderId="0"/>
    <xf numFmtId="0" fontId="35" fillId="60" borderId="0"/>
    <xf numFmtId="0" fontId="82" fillId="42" borderId="0"/>
    <xf numFmtId="0" fontId="82" fillId="48" borderId="0"/>
    <xf numFmtId="0" fontId="35" fillId="48" borderId="0"/>
    <xf numFmtId="0" fontId="35" fillId="51" borderId="0"/>
    <xf numFmtId="0" fontId="82" fillId="43" borderId="0"/>
    <xf numFmtId="0" fontId="82" fillId="43" borderId="0"/>
    <xf numFmtId="0" fontId="35" fillId="51" borderId="0"/>
    <xf numFmtId="0" fontId="35" fillId="52" borderId="0"/>
    <xf numFmtId="0" fontId="82" fillId="44" borderId="0"/>
    <xf numFmtId="0" fontId="82" fillId="46" borderId="0"/>
    <xf numFmtId="0" fontId="35" fillId="52" borderId="0"/>
    <xf numFmtId="0" fontId="35" fillId="61" borderId="0"/>
    <xf numFmtId="0" fontId="82" fillId="45" borderId="0"/>
    <xf numFmtId="0" fontId="82" fillId="49" borderId="0"/>
    <xf numFmtId="0" fontId="35" fillId="53" borderId="0"/>
    <xf numFmtId="0" fontId="37" fillId="0" borderId="0">
      <alignment horizontal="center"/>
    </xf>
    <xf numFmtId="0" fontId="37" fillId="0" borderId="0">
      <alignment horizontal="center" textRotation="90"/>
    </xf>
    <xf numFmtId="166" fontId="45" fillId="0" borderId="0"/>
    <xf numFmtId="0" fontId="46" fillId="0" borderId="0"/>
    <xf numFmtId="0" fontId="47" fillId="0" borderId="0"/>
    <xf numFmtId="0" fontId="49" fillId="0" borderId="0"/>
    <xf numFmtId="167" fontId="49" fillId="0" borderId="0"/>
    <xf numFmtId="0" fontId="34" fillId="0" borderId="0"/>
    <xf numFmtId="0" fontId="34" fillId="0" borderId="0"/>
    <xf numFmtId="0" fontId="74" fillId="65" borderId="0"/>
    <xf numFmtId="0" fontId="19" fillId="20" borderId="64"/>
    <xf numFmtId="0" fontId="2" fillId="23" borderId="63"/>
    <xf numFmtId="0" fontId="19" fillId="20" borderId="64"/>
    <xf numFmtId="0" fontId="1" fillId="0" borderId="0"/>
    <xf numFmtId="0" fontId="28" fillId="0" borderId="0"/>
    <xf numFmtId="0" fontId="28" fillId="0" borderId="0"/>
    <xf numFmtId="168" fontId="2" fillId="0" borderId="0"/>
    <xf numFmtId="0" fontId="17" fillId="7" borderId="61"/>
    <xf numFmtId="0" fontId="6" fillId="0" borderId="62"/>
    <xf numFmtId="0" fontId="19" fillId="20" borderId="64"/>
    <xf numFmtId="0" fontId="2" fillId="23" borderId="63"/>
    <xf numFmtId="0" fontId="2" fillId="23" borderId="63"/>
    <xf numFmtId="0" fontId="17" fillId="7" borderId="61"/>
    <xf numFmtId="0" fontId="18" fillId="20" borderId="61"/>
    <xf numFmtId="0" fontId="6" fillId="0" borderId="62"/>
    <xf numFmtId="0" fontId="18" fillId="20" borderId="61"/>
    <xf numFmtId="0" fontId="77" fillId="0" borderId="0"/>
    <xf numFmtId="0" fontId="78" fillId="0" borderId="0"/>
    <xf numFmtId="0" fontId="78" fillId="0" borderId="0"/>
    <xf numFmtId="0" fontId="82" fillId="0" borderId="0"/>
    <xf numFmtId="0" fontId="82" fillId="0" borderId="0"/>
    <xf numFmtId="0" fontId="82" fillId="0" borderId="0"/>
    <xf numFmtId="0" fontId="82" fillId="0" borderId="0"/>
    <xf numFmtId="0" fontId="18" fillId="20" borderId="61"/>
    <xf numFmtId="0" fontId="17" fillId="7" borderId="61"/>
    <xf numFmtId="0" fontId="2" fillId="23" borderId="63"/>
    <xf numFmtId="0" fontId="19" fillId="20" borderId="64"/>
    <xf numFmtId="0" fontId="6" fillId="0" borderId="62"/>
    <xf numFmtId="0" fontId="1" fillId="0" borderId="0"/>
    <xf numFmtId="0" fontId="19" fillId="20" borderId="64"/>
    <xf numFmtId="0" fontId="2" fillId="23" borderId="63"/>
    <xf numFmtId="0" fontId="19" fillId="20" borderId="64"/>
    <xf numFmtId="0" fontId="1" fillId="0" borderId="0"/>
    <xf numFmtId="0" fontId="17" fillId="7" borderId="61"/>
    <xf numFmtId="0" fontId="6" fillId="0" borderId="62"/>
    <xf numFmtId="0" fontId="19" fillId="20" borderId="64"/>
    <xf numFmtId="0" fontId="2" fillId="23" borderId="63"/>
    <xf numFmtId="0" fontId="2" fillId="23" borderId="63"/>
    <xf numFmtId="0" fontId="17" fillId="7" borderId="61"/>
    <xf numFmtId="0" fontId="18" fillId="20" borderId="61"/>
    <xf numFmtId="0" fontId="6" fillId="0" borderId="62"/>
    <xf numFmtId="0" fontId="18" fillId="20" borderId="61"/>
    <xf numFmtId="0" fontId="82" fillId="0" borderId="0"/>
    <xf numFmtId="0" fontId="82" fillId="0" borderId="0"/>
    <xf numFmtId="0" fontId="82" fillId="0" borderId="0"/>
    <xf numFmtId="0" fontId="82" fillId="0" borderId="0"/>
    <xf numFmtId="43" fontId="2" fillId="0" borderId="0"/>
  </cellStyleXfs>
  <cellXfs count="905">
    <xf numFmtId="0" fontId="0" fillId="0" borderId="0" xfId="0"/>
    <xf numFmtId="0" fontId="24" fillId="24" borderId="0" xfId="0" applyFont="1" applyFill="1" applyAlignment="1" applyProtection="1">
      <alignment vertical="center"/>
      <protection locked="0"/>
    </xf>
    <xf numFmtId="0" fontId="24" fillId="24" borderId="0" xfId="0" applyFont="1" applyFill="1" applyAlignment="1" applyProtection="1">
      <alignment horizontal="center" vertical="center"/>
      <protection locked="0"/>
    </xf>
    <xf numFmtId="0" fontId="25" fillId="24" borderId="0" xfId="0" applyFont="1" applyFill="1" applyAlignment="1" applyProtection="1">
      <alignment horizontal="center" vertical="center"/>
      <protection locked="0"/>
    </xf>
    <xf numFmtId="0" fontId="0" fillId="0" borderId="0" xfId="0" applyAlignment="1">
      <alignment horizontal="left"/>
    </xf>
    <xf numFmtId="0" fontId="24" fillId="0" borderId="0" xfId="0" applyFont="1" applyAlignment="1" applyProtection="1">
      <alignment vertical="center"/>
      <protection locked="0"/>
    </xf>
    <xf numFmtId="0" fontId="0" fillId="31" borderId="12" xfId="0" applyFill="1" applyBorder="1" applyAlignment="1">
      <alignment horizontal="center"/>
    </xf>
    <xf numFmtId="0" fontId="0" fillId="31" borderId="13" xfId="0" applyFill="1" applyBorder="1" applyAlignment="1">
      <alignment horizontal="center"/>
    </xf>
    <xf numFmtId="0" fontId="0" fillId="0" borderId="31" xfId="0" applyBorder="1"/>
    <xf numFmtId="0" fontId="0" fillId="31" borderId="11" xfId="0" applyFill="1" applyBorder="1" applyAlignment="1">
      <alignment horizontal="center"/>
    </xf>
    <xf numFmtId="0" fontId="0" fillId="0" borderId="39" xfId="0" applyBorder="1"/>
    <xf numFmtId="0" fontId="0" fillId="0" borderId="20" xfId="0" applyBorder="1" applyAlignment="1">
      <alignment horizontal="center"/>
    </xf>
    <xf numFmtId="0" fontId="0" fillId="0" borderId="39" xfId="0" applyBorder="1" applyAlignment="1">
      <alignment horizontal="center"/>
    </xf>
    <xf numFmtId="0" fontId="0" fillId="0" borderId="31" xfId="0" applyBorder="1" applyAlignment="1">
      <alignment horizontal="center"/>
    </xf>
    <xf numFmtId="0" fontId="0" fillId="30" borderId="40" xfId="0" applyFill="1" applyBorder="1" applyAlignment="1">
      <alignment horizontal="center"/>
    </xf>
    <xf numFmtId="0" fontId="0" fillId="0" borderId="29" xfId="0"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5" borderId="13" xfId="0" applyFill="1" applyBorder="1"/>
    <xf numFmtId="0" fontId="0" fillId="35" borderId="11" xfId="0" applyFill="1" applyBorder="1" applyAlignment="1">
      <alignment horizontal="center"/>
    </xf>
    <xf numFmtId="0" fontId="0" fillId="35" borderId="12" xfId="0" applyFill="1" applyBorder="1" applyAlignment="1">
      <alignment horizontal="center"/>
    </xf>
    <xf numFmtId="0" fontId="0" fillId="35" borderId="13" xfId="0" applyFill="1" applyBorder="1" applyAlignment="1">
      <alignment horizontal="center"/>
    </xf>
    <xf numFmtId="0" fontId="0" fillId="34" borderId="37" xfId="0" applyFill="1" applyBorder="1" applyAlignment="1">
      <alignment horizontal="center"/>
    </xf>
    <xf numFmtId="0" fontId="0" fillId="32" borderId="40" xfId="0" applyFill="1" applyBorder="1" applyAlignment="1">
      <alignment horizontal="center"/>
    </xf>
    <xf numFmtId="0" fontId="0" fillId="32" borderId="37" xfId="0" applyFill="1" applyBorder="1" applyAlignment="1">
      <alignment horizontal="center"/>
    </xf>
    <xf numFmtId="0" fontId="29" fillId="0" borderId="0" xfId="0" applyFont="1" applyAlignment="1" applyProtection="1">
      <alignment horizontal="center" vertical="center" wrapText="1"/>
      <protection locked="0"/>
    </xf>
    <xf numFmtId="0" fontId="26" fillId="0" borderId="0" xfId="0" applyFont="1" applyAlignment="1" applyProtection="1">
      <alignment vertical="center"/>
      <protection locked="0"/>
    </xf>
    <xf numFmtId="0" fontId="24" fillId="24" borderId="0" xfId="0" applyFont="1" applyFill="1" applyAlignment="1" applyProtection="1">
      <alignment horizontal="left" vertical="center"/>
      <protection locked="0"/>
    </xf>
    <xf numFmtId="0" fontId="24" fillId="24" borderId="0" xfId="0" applyFont="1" applyFill="1" applyAlignment="1" applyProtection="1">
      <alignment horizontal="right" vertical="center"/>
      <protection locked="0"/>
    </xf>
    <xf numFmtId="164" fontId="24" fillId="24" borderId="0" xfId="0" applyNumberFormat="1" applyFont="1" applyFill="1" applyAlignment="1" applyProtection="1">
      <alignment horizontal="center" vertical="center"/>
      <protection locked="0"/>
    </xf>
    <xf numFmtId="0" fontId="0" fillId="33" borderId="22" xfId="0" applyFill="1" applyBorder="1" applyAlignment="1">
      <alignment horizontal="center"/>
    </xf>
    <xf numFmtId="0" fontId="0" fillId="33" borderId="14" xfId="0" applyFill="1" applyBorder="1" applyAlignment="1">
      <alignment horizontal="center"/>
    </xf>
    <xf numFmtId="0" fontId="0" fillId="33" borderId="30" xfId="0" applyFill="1" applyBorder="1" applyAlignment="1">
      <alignment horizontal="center"/>
    </xf>
    <xf numFmtId="0" fontId="0" fillId="31" borderId="22" xfId="0" applyFill="1" applyBorder="1" applyAlignment="1">
      <alignment horizontal="center"/>
    </xf>
    <xf numFmtId="0" fontId="0" fillId="31" borderId="14" xfId="0" applyFill="1" applyBorder="1" applyAlignment="1">
      <alignment horizontal="center"/>
    </xf>
    <xf numFmtId="0" fontId="0" fillId="31" borderId="30" xfId="0" applyFill="1" applyBorder="1" applyAlignment="1">
      <alignment horizontal="center"/>
    </xf>
    <xf numFmtId="0" fontId="0" fillId="37" borderId="0" xfId="0" applyFill="1"/>
    <xf numFmtId="0" fontId="31" fillId="24" borderId="42" xfId="0" applyFont="1" applyFill="1" applyBorder="1" applyAlignment="1" applyProtection="1">
      <alignment horizontal="left" vertical="center" wrapText="1"/>
      <protection locked="0"/>
    </xf>
    <xf numFmtId="0" fontId="0" fillId="38" borderId="0" xfId="0" applyFill="1"/>
    <xf numFmtId="0" fontId="0" fillId="36" borderId="0" xfId="0" applyFill="1"/>
    <xf numFmtId="0" fontId="0" fillId="35" borderId="0" xfId="0" applyFill="1" applyAlignment="1">
      <alignment horizontal="center"/>
    </xf>
    <xf numFmtId="0" fontId="0" fillId="30" borderId="37" xfId="0" applyFill="1" applyBorder="1" applyAlignment="1">
      <alignment horizontal="center"/>
    </xf>
    <xf numFmtId="0" fontId="21" fillId="0" borderId="0" xfId="0" applyFont="1"/>
    <xf numFmtId="0" fontId="32" fillId="39" borderId="19" xfId="0" applyFont="1" applyFill="1" applyBorder="1" applyAlignment="1">
      <alignment horizontal="left" vertical="center"/>
    </xf>
    <xf numFmtId="0" fontId="32" fillId="39" borderId="34" xfId="0" applyFont="1" applyFill="1" applyBorder="1" applyAlignment="1">
      <alignment horizontal="left" vertical="center"/>
    </xf>
    <xf numFmtId="0" fontId="32" fillId="29" borderId="33" xfId="0" applyFont="1" applyFill="1" applyBorder="1" applyAlignment="1">
      <alignment horizontal="left" vertical="center" shrinkToFit="1"/>
    </xf>
    <xf numFmtId="0" fontId="56" fillId="29" borderId="14" xfId="0" applyFont="1" applyFill="1" applyBorder="1" applyAlignment="1">
      <alignment horizontal="left" vertical="center"/>
    </xf>
    <xf numFmtId="0" fontId="56" fillId="29" borderId="12" xfId="0" applyFont="1" applyFill="1" applyBorder="1" applyAlignment="1">
      <alignment horizontal="left" vertical="center"/>
    </xf>
    <xf numFmtId="0" fontId="56" fillId="29" borderId="13" xfId="0" applyFont="1" applyFill="1" applyBorder="1" applyAlignment="1">
      <alignment horizontal="left" vertical="center"/>
    </xf>
    <xf numFmtId="0" fontId="32" fillId="29" borderId="39" xfId="0" applyFont="1" applyFill="1" applyBorder="1" applyAlignment="1">
      <alignment horizontal="left" vertical="center"/>
    </xf>
    <xf numFmtId="0" fontId="32" fillId="29" borderId="20" xfId="0" applyFont="1" applyFill="1" applyBorder="1" applyAlignment="1">
      <alignment horizontal="left" vertical="center"/>
    </xf>
    <xf numFmtId="0" fontId="32" fillId="29" borderId="40" xfId="0" applyFont="1" applyFill="1" applyBorder="1" applyAlignment="1">
      <alignment horizontal="left" vertical="center"/>
    </xf>
    <xf numFmtId="1" fontId="32" fillId="29" borderId="33" xfId="0" applyNumberFormat="1" applyFont="1" applyFill="1" applyBorder="1" applyAlignment="1">
      <alignment horizontal="center" vertical="center"/>
    </xf>
    <xf numFmtId="0" fontId="32" fillId="29" borderId="32" xfId="0" applyFont="1" applyFill="1" applyBorder="1" applyAlignment="1">
      <alignment horizontal="left" vertical="center" shrinkToFit="1"/>
    </xf>
    <xf numFmtId="0" fontId="32" fillId="29" borderId="37" xfId="0" applyFont="1" applyFill="1" applyBorder="1" applyAlignment="1">
      <alignment horizontal="left" vertical="center"/>
    </xf>
    <xf numFmtId="1" fontId="32" fillId="29" borderId="24" xfId="0" applyNumberFormat="1" applyFont="1" applyFill="1" applyBorder="1" applyAlignment="1">
      <alignment horizontal="center" vertical="center"/>
    </xf>
    <xf numFmtId="0" fontId="56" fillId="29" borderId="8" xfId="0" applyFont="1" applyFill="1" applyBorder="1" applyAlignment="1">
      <alignment horizontal="left" vertical="center"/>
    </xf>
    <xf numFmtId="0" fontId="32" fillId="29" borderId="45" xfId="0" applyFont="1" applyFill="1" applyBorder="1" applyAlignment="1">
      <alignment horizontal="left" vertical="center"/>
    </xf>
    <xf numFmtId="0" fontId="32" fillId="29" borderId="26" xfId="0" applyFont="1" applyFill="1" applyBorder="1" applyAlignment="1">
      <alignment horizontal="left" vertical="center" shrinkToFit="1"/>
    </xf>
    <xf numFmtId="0" fontId="32" fillId="29" borderId="26" xfId="0" applyFont="1" applyFill="1" applyBorder="1" applyAlignment="1">
      <alignment horizontal="left" vertical="center"/>
    </xf>
    <xf numFmtId="0" fontId="32" fillId="29" borderId="19" xfId="0" applyFont="1" applyFill="1" applyBorder="1" applyAlignment="1">
      <alignment horizontal="left" vertical="center" shrinkToFit="1"/>
    </xf>
    <xf numFmtId="0" fontId="56" fillId="62" borderId="22" xfId="0" applyFont="1" applyFill="1" applyBorder="1" applyAlignment="1">
      <alignment horizontal="left" vertical="center"/>
    </xf>
    <xf numFmtId="0" fontId="56" fillId="62" borderId="8" xfId="0" applyFont="1" applyFill="1" applyBorder="1" applyAlignment="1">
      <alignment horizontal="left" vertical="center"/>
    </xf>
    <xf numFmtId="0" fontId="32" fillId="62" borderId="14" xfId="0" applyFont="1" applyFill="1" applyBorder="1" applyAlignment="1">
      <alignment horizontal="center" vertical="center"/>
    </xf>
    <xf numFmtId="0" fontId="56" fillId="62" borderId="14" xfId="0" applyFont="1" applyFill="1" applyBorder="1" applyAlignment="1">
      <alignment horizontal="left" vertical="center"/>
    </xf>
    <xf numFmtId="0" fontId="56" fillId="62" borderId="30" xfId="0" applyFont="1" applyFill="1" applyBorder="1" applyAlignment="1">
      <alignment horizontal="left" vertical="center"/>
    </xf>
    <xf numFmtId="0" fontId="56" fillId="39" borderId="25" xfId="0" applyFont="1" applyFill="1" applyBorder="1" applyAlignment="1">
      <alignment horizontal="left" vertical="center"/>
    </xf>
    <xf numFmtId="0" fontId="56" fillId="29" borderId="14" xfId="0" applyFont="1" applyFill="1" applyBorder="1" applyAlignment="1">
      <alignment horizontal="center" vertical="center"/>
    </xf>
    <xf numFmtId="0" fontId="56" fillId="29" borderId="30" xfId="0" applyFont="1" applyFill="1" applyBorder="1" applyAlignment="1">
      <alignment horizontal="left" vertical="center"/>
    </xf>
    <xf numFmtId="0" fontId="32" fillId="39" borderId="33" xfId="0" applyFont="1" applyFill="1" applyBorder="1" applyAlignment="1">
      <alignment horizontal="left" vertical="center"/>
    </xf>
    <xf numFmtId="0" fontId="32" fillId="29" borderId="24" xfId="0" applyFont="1" applyFill="1" applyBorder="1" applyAlignment="1">
      <alignment horizontal="left" vertical="center" shrinkToFit="1"/>
    </xf>
    <xf numFmtId="0" fontId="56" fillId="62" borderId="10" xfId="0" applyFont="1" applyFill="1" applyBorder="1" applyAlignment="1">
      <alignment horizontal="left" vertical="center"/>
    </xf>
    <xf numFmtId="0" fontId="0" fillId="31" borderId="22" xfId="0" applyFill="1" applyBorder="1"/>
    <xf numFmtId="0" fontId="0" fillId="31" borderId="14" xfId="0" applyFill="1" applyBorder="1"/>
    <xf numFmtId="0" fontId="0" fillId="31" borderId="30" xfId="0" applyFill="1" applyBorder="1"/>
    <xf numFmtId="0" fontId="32" fillId="29" borderId="31" xfId="0" applyFont="1" applyFill="1" applyBorder="1" applyAlignment="1">
      <alignment horizontal="left" vertical="center"/>
    </xf>
    <xf numFmtId="0" fontId="32" fillId="31" borderId="22" xfId="0" applyFont="1" applyFill="1" applyBorder="1" applyAlignment="1">
      <alignment horizontal="left" vertical="center"/>
    </xf>
    <xf numFmtId="0" fontId="58" fillId="31" borderId="14" xfId="0" applyFont="1" applyFill="1" applyBorder="1" applyAlignment="1">
      <alignment horizontal="left" vertical="center"/>
    </xf>
    <xf numFmtId="0" fontId="60" fillId="31" borderId="14" xfId="0" applyFont="1" applyFill="1" applyBorder="1" applyAlignment="1">
      <alignment horizontal="left" vertical="center"/>
    </xf>
    <xf numFmtId="0" fontId="32" fillId="31" borderId="14" xfId="0" applyFont="1" applyFill="1" applyBorder="1" applyAlignment="1">
      <alignment horizontal="left" vertical="center"/>
    </xf>
    <xf numFmtId="14" fontId="60" fillId="31" borderId="14" xfId="0" applyNumberFormat="1" applyFont="1" applyFill="1" applyBorder="1" applyAlignment="1">
      <alignment horizontal="left" vertical="center"/>
    </xf>
    <xf numFmtId="0" fontId="58" fillId="31" borderId="14" xfId="0" applyFont="1" applyFill="1" applyBorder="1" applyAlignment="1">
      <alignment horizontal="center" vertical="center"/>
    </xf>
    <xf numFmtId="0" fontId="58" fillId="31" borderId="30" xfId="0" applyFont="1" applyFill="1" applyBorder="1" applyAlignment="1">
      <alignment horizontal="left" vertical="center"/>
    </xf>
    <xf numFmtId="0" fontId="58" fillId="29" borderId="8" xfId="0" applyFont="1" applyFill="1" applyBorder="1" applyAlignment="1">
      <alignment horizontal="left" vertical="center"/>
    </xf>
    <xf numFmtId="0" fontId="56" fillId="62" borderId="6" xfId="0" applyFont="1" applyFill="1" applyBorder="1" applyAlignment="1">
      <alignment horizontal="left" vertical="center"/>
    </xf>
    <xf numFmtId="0" fontId="56" fillId="62" borderId="12" xfId="0" applyFont="1" applyFill="1" applyBorder="1" applyAlignment="1">
      <alignment horizontal="left" vertical="center"/>
    </xf>
    <xf numFmtId="0" fontId="56" fillId="62" borderId="7" xfId="0" applyFont="1" applyFill="1" applyBorder="1" applyAlignment="1">
      <alignment horizontal="left" vertical="center"/>
    </xf>
    <xf numFmtId="0" fontId="0" fillId="0" borderId="0" xfId="0" applyAlignment="1">
      <alignment horizontal="center"/>
    </xf>
    <xf numFmtId="0" fontId="0" fillId="36" borderId="0" xfId="0" applyFill="1" applyAlignment="1">
      <alignment horizontal="center" vertical="center"/>
    </xf>
    <xf numFmtId="0" fontId="0" fillId="0" borderId="0" xfId="0" applyAlignment="1">
      <alignment horizontal="center" vertical="center"/>
    </xf>
    <xf numFmtId="49" fontId="30" fillId="24" borderId="0" xfId="0" applyNumberFormat="1" applyFont="1" applyFill="1" applyAlignment="1" applyProtection="1">
      <alignment horizontal="center" vertical="center"/>
      <protection locked="0"/>
    </xf>
    <xf numFmtId="0" fontId="63" fillId="24" borderId="0" xfId="0" applyFont="1" applyFill="1" applyAlignment="1" applyProtection="1">
      <alignment horizontal="center" vertical="center" wrapText="1"/>
      <protection locked="0"/>
    </xf>
    <xf numFmtId="0" fontId="32" fillId="29" borderId="34" xfId="0" applyFont="1" applyFill="1" applyBorder="1" applyAlignment="1">
      <alignment horizontal="left" vertical="center" shrinkToFit="1"/>
    </xf>
    <xf numFmtId="0" fontId="56" fillId="62" borderId="25" xfId="0" applyFont="1" applyFill="1" applyBorder="1" applyAlignment="1">
      <alignment horizontal="left" vertical="center"/>
    </xf>
    <xf numFmtId="0" fontId="32" fillId="62" borderId="8" xfId="0" applyFont="1" applyFill="1" applyBorder="1" applyAlignment="1">
      <alignment horizontal="center" vertical="center"/>
    </xf>
    <xf numFmtId="0" fontId="56" fillId="62" borderId="9" xfId="0" applyFont="1" applyFill="1" applyBorder="1" applyAlignment="1">
      <alignment horizontal="left" vertical="center"/>
    </xf>
    <xf numFmtId="49" fontId="64" fillId="26" borderId="41" xfId="0" applyNumberFormat="1" applyFont="1" applyFill="1" applyBorder="1" applyAlignment="1" applyProtection="1">
      <alignment horizontal="center" vertical="center" wrapText="1"/>
      <protection locked="0"/>
    </xf>
    <xf numFmtId="0" fontId="62" fillId="25" borderId="41" xfId="0" applyFont="1" applyFill="1" applyBorder="1" applyAlignment="1" applyProtection="1">
      <alignment horizontal="center" vertical="center" wrapText="1"/>
      <protection locked="0"/>
    </xf>
    <xf numFmtId="0" fontId="67" fillId="25" borderId="18" xfId="0" applyFont="1" applyFill="1" applyBorder="1" applyAlignment="1" applyProtection="1">
      <alignment horizontal="center" vertical="center" wrapText="1"/>
      <protection locked="0"/>
    </xf>
    <xf numFmtId="0" fontId="67" fillId="25" borderId="18" xfId="0" applyFont="1" applyFill="1" applyBorder="1" applyAlignment="1" applyProtection="1">
      <alignment horizontal="center" vertical="center"/>
      <protection locked="0"/>
    </xf>
    <xf numFmtId="0" fontId="68" fillId="25" borderId="18" xfId="0" applyFont="1" applyFill="1" applyBorder="1" applyAlignment="1" applyProtection="1">
      <alignment vertical="center"/>
      <protection locked="0"/>
    </xf>
    <xf numFmtId="0" fontId="0" fillId="0" borderId="57" xfId="0" applyBorder="1"/>
    <xf numFmtId="0" fontId="0" fillId="0" borderId="57" xfId="0" applyBorder="1" applyAlignment="1">
      <alignment horizontal="center"/>
    </xf>
    <xf numFmtId="0" fontId="0" fillId="34" borderId="58" xfId="0" applyFill="1" applyBorder="1" applyAlignment="1">
      <alignment horizontal="center"/>
    </xf>
    <xf numFmtId="0" fontId="26" fillId="63" borderId="0" xfId="0" applyFont="1" applyFill="1" applyAlignment="1" applyProtection="1">
      <alignment vertical="center"/>
      <protection locked="0"/>
    </xf>
    <xf numFmtId="0" fontId="62" fillId="25" borderId="55" xfId="0" applyFont="1" applyFill="1" applyBorder="1" applyAlignment="1" applyProtection="1">
      <alignment horizontal="center" vertical="center" wrapText="1"/>
      <protection locked="0"/>
    </xf>
    <xf numFmtId="0" fontId="32" fillId="39" borderId="0" xfId="0" applyFont="1" applyFill="1" applyAlignment="1">
      <alignment horizontal="left" vertical="center"/>
    </xf>
    <xf numFmtId="0" fontId="32" fillId="0" borderId="0" xfId="0" applyFont="1" applyAlignment="1">
      <alignment horizontal="left" vertical="center"/>
    </xf>
    <xf numFmtId="0" fontId="32" fillId="29" borderId="0" xfId="0" applyFont="1" applyFill="1" applyAlignment="1">
      <alignment horizontal="left" vertical="center"/>
    </xf>
    <xf numFmtId="0" fontId="32" fillId="29" borderId="20" xfId="0" applyFont="1" applyFill="1" applyBorder="1" applyAlignment="1">
      <alignment horizontal="left" vertical="center" wrapText="1"/>
    </xf>
    <xf numFmtId="0" fontId="32" fillId="29" borderId="24" xfId="0" applyFont="1" applyFill="1" applyBorder="1" applyAlignment="1">
      <alignment horizontal="left" vertical="center"/>
    </xf>
    <xf numFmtId="0" fontId="57" fillId="62" borderId="11" xfId="0" applyFont="1" applyFill="1" applyBorder="1" applyAlignment="1">
      <alignment horizontal="left" vertical="center"/>
    </xf>
    <xf numFmtId="0" fontId="57" fillId="62" borderId="6" xfId="0" applyFont="1" applyFill="1" applyBorder="1" applyAlignment="1">
      <alignment horizontal="left" vertical="center"/>
    </xf>
    <xf numFmtId="0" fontId="57" fillId="62" borderId="43" xfId="0" applyFont="1" applyFill="1" applyBorder="1" applyAlignment="1">
      <alignment horizontal="left" vertical="center"/>
    </xf>
    <xf numFmtId="0" fontId="57" fillId="62" borderId="10" xfId="0" applyFont="1" applyFill="1" applyBorder="1" applyAlignment="1">
      <alignment horizontal="left" vertical="center"/>
    </xf>
    <xf numFmtId="0" fontId="57" fillId="62" borderId="8" xfId="0" applyFont="1" applyFill="1" applyBorder="1" applyAlignment="1">
      <alignment horizontal="left" vertical="center"/>
    </xf>
    <xf numFmtId="0" fontId="57" fillId="62" borderId="9" xfId="0" applyFont="1" applyFill="1" applyBorder="1" applyAlignment="1">
      <alignment horizontal="left" vertical="center"/>
    </xf>
    <xf numFmtId="0" fontId="32" fillId="62" borderId="43" xfId="0" applyFont="1" applyFill="1" applyBorder="1" applyAlignment="1">
      <alignment horizontal="center" vertical="center"/>
    </xf>
    <xf numFmtId="0" fontId="58" fillId="39" borderId="22" xfId="0" applyFont="1" applyFill="1" applyBorder="1" applyAlignment="1">
      <alignment horizontal="left" vertical="center"/>
    </xf>
    <xf numFmtId="0" fontId="32" fillId="39" borderId="41" xfId="0" applyFont="1" applyFill="1" applyBorder="1" applyAlignment="1">
      <alignment horizontal="left" vertical="center"/>
    </xf>
    <xf numFmtId="0" fontId="32" fillId="39" borderId="28" xfId="0" applyFont="1" applyFill="1" applyBorder="1" applyAlignment="1">
      <alignment horizontal="left" vertical="center"/>
    </xf>
    <xf numFmtId="0" fontId="32" fillId="39" borderId="15" xfId="0" applyFont="1" applyFill="1" applyBorder="1" applyAlignment="1">
      <alignment horizontal="left" vertical="center"/>
    </xf>
    <xf numFmtId="0" fontId="32" fillId="39" borderId="30" xfId="0" applyFont="1" applyFill="1" applyBorder="1" applyAlignment="1">
      <alignment horizontal="center" vertical="center"/>
    </xf>
    <xf numFmtId="0" fontId="32" fillId="39" borderId="25" xfId="0" applyFont="1" applyFill="1" applyBorder="1" applyAlignment="1">
      <alignment horizontal="left" vertical="center"/>
    </xf>
    <xf numFmtId="0" fontId="32" fillId="39" borderId="22" xfId="0" applyFont="1" applyFill="1" applyBorder="1" applyAlignment="1">
      <alignment horizontal="left" vertical="center" shrinkToFit="1"/>
    </xf>
    <xf numFmtId="0" fontId="32" fillId="29" borderId="38" xfId="0" applyFont="1" applyFill="1" applyBorder="1" applyAlignment="1">
      <alignment horizontal="left" vertical="center"/>
    </xf>
    <xf numFmtId="0" fontId="32" fillId="29" borderId="20" xfId="0" applyFont="1" applyFill="1" applyBorder="1" applyAlignment="1">
      <alignment horizontal="left" vertical="center" shrinkToFit="1"/>
    </xf>
    <xf numFmtId="0" fontId="32" fillId="29" borderId="21" xfId="0" applyFont="1" applyFill="1" applyBorder="1" applyAlignment="1">
      <alignment horizontal="left" vertical="center" shrinkToFit="1"/>
    </xf>
    <xf numFmtId="0" fontId="32" fillId="29" borderId="58" xfId="0" applyFont="1" applyFill="1" applyBorder="1" applyAlignment="1">
      <alignment horizontal="left" vertical="center"/>
    </xf>
    <xf numFmtId="0" fontId="32" fillId="29" borderId="23" xfId="0" applyFont="1" applyFill="1" applyBorder="1" applyAlignment="1">
      <alignment horizontal="left" vertical="center" shrinkToFit="1"/>
    </xf>
    <xf numFmtId="0" fontId="32" fillId="29" borderId="7" xfId="0" applyFont="1" applyFill="1" applyBorder="1" applyAlignment="1">
      <alignment horizontal="left" vertical="center" shrinkToFit="1"/>
    </xf>
    <xf numFmtId="0" fontId="32" fillId="39" borderId="24" xfId="0" applyFont="1" applyFill="1" applyBorder="1" applyAlignment="1">
      <alignment horizontal="left" vertical="center"/>
    </xf>
    <xf numFmtId="1" fontId="56" fillId="29" borderId="14" xfId="0" applyNumberFormat="1" applyFont="1" applyFill="1" applyBorder="1" applyAlignment="1">
      <alignment horizontal="center" vertical="center"/>
    </xf>
    <xf numFmtId="0" fontId="32" fillId="0" borderId="20" xfId="0" applyFont="1" applyBorder="1" applyAlignment="1">
      <alignment horizontal="left" vertical="center" shrinkToFit="1"/>
    </xf>
    <xf numFmtId="0" fontId="59" fillId="0" borderId="37" xfId="0" applyFont="1" applyBorder="1" applyAlignment="1">
      <alignment horizontal="left" vertical="center"/>
    </xf>
    <xf numFmtId="0" fontId="32" fillId="0" borderId="37" xfId="0" applyFont="1" applyBorder="1" applyAlignment="1">
      <alignment horizontal="left" vertical="center" shrinkToFit="1"/>
    </xf>
    <xf numFmtId="0" fontId="32" fillId="0" borderId="39" xfId="0" applyFont="1" applyBorder="1" applyAlignment="1">
      <alignment horizontal="left" vertical="center" shrinkToFit="1"/>
    </xf>
    <xf numFmtId="0" fontId="33" fillId="0" borderId="40" xfId="0" applyFont="1" applyBorder="1" applyAlignment="1">
      <alignment horizontal="left" vertical="center"/>
    </xf>
    <xf numFmtId="0" fontId="32" fillId="0" borderId="40" xfId="0" applyFont="1" applyBorder="1" applyAlignment="1">
      <alignment horizontal="left" vertical="center" wrapText="1" shrinkToFit="1"/>
    </xf>
    <xf numFmtId="0" fontId="32" fillId="0" borderId="31" xfId="0" applyFont="1" applyBorder="1" applyAlignment="1">
      <alignment horizontal="left" vertical="center" shrinkToFit="1"/>
    </xf>
    <xf numFmtId="0" fontId="72" fillId="36" borderId="0" xfId="0" applyFont="1" applyFill="1"/>
    <xf numFmtId="0" fontId="73" fillId="36" borderId="0" xfId="0" applyFont="1" applyFill="1" applyAlignment="1">
      <alignment horizontal="left" vertical="center"/>
    </xf>
    <xf numFmtId="0" fontId="72" fillId="36" borderId="0" xfId="0" applyFont="1" applyFill="1" applyAlignment="1">
      <alignment horizontal="center"/>
    </xf>
    <xf numFmtId="0" fontId="59" fillId="0" borderId="0" xfId="0" applyFont="1" applyAlignment="1">
      <alignment horizontal="left" vertical="center"/>
    </xf>
    <xf numFmtId="0" fontId="56" fillId="29" borderId="0" xfId="0" applyFont="1" applyFill="1" applyAlignment="1">
      <alignment horizontal="left" vertical="center"/>
    </xf>
    <xf numFmtId="0" fontId="56" fillId="0" borderId="0" xfId="0" applyFont="1" applyAlignment="1">
      <alignment horizontal="left" vertical="center"/>
    </xf>
    <xf numFmtId="0" fontId="32" fillId="0" borderId="40" xfId="0" applyFont="1" applyBorder="1" applyAlignment="1">
      <alignment horizontal="left" vertical="center"/>
    </xf>
    <xf numFmtId="0" fontId="32" fillId="0" borderId="31" xfId="0" applyFont="1" applyBorder="1" applyAlignment="1">
      <alignment horizontal="left" vertical="center"/>
    </xf>
    <xf numFmtId="0" fontId="32" fillId="29" borderId="45" xfId="0" applyFont="1" applyFill="1" applyBorder="1" applyAlignment="1">
      <alignment horizontal="left" vertical="center" shrinkToFit="1"/>
    </xf>
    <xf numFmtId="0" fontId="32" fillId="29" borderId="39" xfId="0" applyFont="1" applyFill="1" applyBorder="1" applyAlignment="1">
      <alignment horizontal="left" vertical="center" shrinkToFit="1"/>
    </xf>
    <xf numFmtId="0" fontId="32" fillId="29" borderId="40" xfId="0" applyFont="1" applyFill="1" applyBorder="1" applyAlignment="1">
      <alignment horizontal="left" vertical="center" shrinkToFit="1"/>
    </xf>
    <xf numFmtId="1" fontId="32" fillId="29" borderId="12" xfId="0" applyNumberFormat="1" applyFont="1" applyFill="1" applyBorder="1" applyAlignment="1">
      <alignment horizontal="center" vertical="center" shrinkToFit="1"/>
    </xf>
    <xf numFmtId="0" fontId="33" fillId="39" borderId="24" xfId="0" applyFont="1" applyFill="1" applyBorder="1" applyAlignment="1">
      <alignment horizontal="left" vertical="center"/>
    </xf>
    <xf numFmtId="0" fontId="32" fillId="29" borderId="31" xfId="0" applyFont="1" applyFill="1" applyBorder="1" applyAlignment="1">
      <alignment horizontal="left" vertical="center" shrinkToFit="1"/>
    </xf>
    <xf numFmtId="0" fontId="32" fillId="29" borderId="37" xfId="0" applyFont="1" applyFill="1" applyBorder="1" applyAlignment="1">
      <alignment horizontal="left" vertical="center" shrinkToFit="1"/>
    </xf>
    <xf numFmtId="1" fontId="32" fillId="29" borderId="14" xfId="0" applyNumberFormat="1" applyFont="1" applyFill="1" applyBorder="1" applyAlignment="1">
      <alignment horizontal="center" vertical="center" shrinkToFit="1"/>
    </xf>
    <xf numFmtId="0" fontId="32" fillId="29" borderId="25" xfId="0" applyFont="1" applyFill="1" applyBorder="1" applyAlignment="1">
      <alignment horizontal="left" vertical="center"/>
    </xf>
    <xf numFmtId="0" fontId="32" fillId="29" borderId="35" xfId="0" applyFont="1" applyFill="1" applyBorder="1" applyAlignment="1">
      <alignment horizontal="left" vertical="center" shrinkToFit="1"/>
    </xf>
    <xf numFmtId="1" fontId="56" fillId="29" borderId="0" xfId="0" applyNumberFormat="1" applyFont="1" applyFill="1" applyAlignment="1">
      <alignment horizontal="center" vertical="center"/>
    </xf>
    <xf numFmtId="0" fontId="56" fillId="62" borderId="0" xfId="0" applyFont="1" applyFill="1" applyAlignment="1">
      <alignment horizontal="left" vertical="center"/>
    </xf>
    <xf numFmtId="0" fontId="32" fillId="62" borderId="0" xfId="0" applyFont="1" applyFill="1" applyAlignment="1">
      <alignment horizontal="center" vertical="center"/>
    </xf>
    <xf numFmtId="0" fontId="59" fillId="29" borderId="8" xfId="0" applyFont="1" applyFill="1" applyBorder="1" applyAlignment="1">
      <alignment horizontal="left" vertical="center"/>
    </xf>
    <xf numFmtId="0" fontId="0" fillId="66" borderId="0" xfId="0" applyFill="1"/>
    <xf numFmtId="0" fontId="75" fillId="66" borderId="0" xfId="0" applyFont="1" applyFill="1" applyAlignment="1">
      <alignment horizontal="left" vertical="center"/>
    </xf>
    <xf numFmtId="0" fontId="72" fillId="37" borderId="0" xfId="0" applyFont="1" applyFill="1"/>
    <xf numFmtId="0" fontId="27" fillId="37" borderId="0" xfId="0" applyFont="1" applyFill="1" applyAlignment="1">
      <alignment horizontal="center"/>
    </xf>
    <xf numFmtId="0" fontId="27" fillId="37" borderId="0" xfId="0" applyFont="1" applyFill="1"/>
    <xf numFmtId="0" fontId="72" fillId="38" borderId="0" xfId="0" applyFont="1" applyFill="1"/>
    <xf numFmtId="0" fontId="27" fillId="38" borderId="0" xfId="0" applyFont="1" applyFill="1" applyAlignment="1">
      <alignment horizontal="center"/>
    </xf>
    <xf numFmtId="0" fontId="27" fillId="38" borderId="0" xfId="0" applyFont="1" applyFill="1"/>
    <xf numFmtId="0" fontId="27" fillId="66" borderId="0" xfId="0" applyFont="1" applyFill="1" applyAlignment="1">
      <alignment horizontal="center"/>
    </xf>
    <xf numFmtId="0" fontId="27" fillId="66" borderId="0" xfId="0" applyFont="1" applyFill="1"/>
    <xf numFmtId="0" fontId="72" fillId="66" borderId="0" xfId="0" applyFont="1" applyFill="1"/>
    <xf numFmtId="0" fontId="27" fillId="67" borderId="0" xfId="0" applyFont="1" applyFill="1" applyAlignment="1">
      <alignment horizontal="center" vertical="center"/>
    </xf>
    <xf numFmtId="0" fontId="27" fillId="36" borderId="0" xfId="0" applyFont="1" applyFill="1" applyAlignment="1">
      <alignment horizontal="center" vertical="center"/>
    </xf>
    <xf numFmtId="49" fontId="64" fillId="26" borderId="16" xfId="0" applyNumberFormat="1" applyFont="1" applyFill="1" applyBorder="1" applyAlignment="1" applyProtection="1">
      <alignment horizontal="center" vertical="center" wrapText="1"/>
      <protection locked="0"/>
    </xf>
    <xf numFmtId="0" fontId="64" fillId="26" borderId="16" xfId="0" applyFont="1" applyFill="1" applyBorder="1" applyAlignment="1" applyProtection="1">
      <alignment horizontal="center" vertical="center" wrapText="1"/>
      <protection locked="0"/>
    </xf>
    <xf numFmtId="0" fontId="67" fillId="25" borderId="16" xfId="0" applyFont="1" applyFill="1" applyBorder="1" applyAlignment="1" applyProtection="1">
      <alignment horizontal="center" vertical="center" wrapText="1"/>
      <protection locked="0"/>
    </xf>
    <xf numFmtId="0" fontId="67" fillId="25" borderId="16" xfId="0" applyFont="1" applyFill="1" applyBorder="1" applyAlignment="1" applyProtection="1">
      <alignment horizontal="center" vertical="center"/>
      <protection locked="0"/>
    </xf>
    <xf numFmtId="165" fontId="69" fillId="25" borderId="16" xfId="0" applyNumberFormat="1" applyFont="1" applyFill="1" applyBorder="1" applyAlignment="1" applyProtection="1">
      <alignment horizontal="right" vertical="center"/>
      <protection locked="0"/>
    </xf>
    <xf numFmtId="0" fontId="68" fillId="25" borderId="16" xfId="0" applyFont="1" applyFill="1" applyBorder="1" applyAlignment="1" applyProtection="1">
      <alignment vertical="center"/>
      <protection locked="0"/>
    </xf>
    <xf numFmtId="1" fontId="67" fillId="25" borderId="16" xfId="0" applyNumberFormat="1" applyFont="1" applyFill="1" applyBorder="1" applyAlignment="1" applyProtection="1">
      <alignment horizontal="center" vertical="center"/>
      <protection locked="0"/>
    </xf>
    <xf numFmtId="0" fontId="32" fillId="39" borderId="16" xfId="0" applyFont="1" applyFill="1" applyBorder="1" applyAlignment="1">
      <alignment horizontal="left" vertical="center"/>
    </xf>
    <xf numFmtId="49" fontId="65" fillId="25" borderId="41" xfId="0" applyNumberFormat="1" applyFont="1" applyFill="1" applyBorder="1" applyAlignment="1" applyProtection="1">
      <alignment horizontal="center" vertical="center"/>
      <protection locked="0"/>
    </xf>
    <xf numFmtId="0" fontId="79" fillId="26" borderId="16" xfId="0" applyFont="1" applyFill="1" applyBorder="1" applyAlignment="1" applyProtection="1">
      <alignment horizontal="center" vertical="center" wrapText="1"/>
      <protection locked="0"/>
    </xf>
    <xf numFmtId="0" fontId="56" fillId="69" borderId="22" xfId="0" applyFont="1" applyFill="1" applyBorder="1" applyAlignment="1">
      <alignment horizontal="left" vertical="center"/>
    </xf>
    <xf numFmtId="0" fontId="56" fillId="69" borderId="12" xfId="0" applyFont="1" applyFill="1" applyBorder="1" applyAlignment="1">
      <alignment horizontal="left" vertical="center"/>
    </xf>
    <xf numFmtId="0" fontId="56" fillId="69" borderId="14" xfId="0" applyFont="1" applyFill="1" applyBorder="1" applyAlignment="1">
      <alignment horizontal="center" vertical="center"/>
    </xf>
    <xf numFmtId="0" fontId="56" fillId="69" borderId="14" xfId="0" applyFont="1" applyFill="1" applyBorder="1" applyAlignment="1">
      <alignment horizontal="left" vertical="center"/>
    </xf>
    <xf numFmtId="0" fontId="56" fillId="69" borderId="14" xfId="0" applyFont="1" applyFill="1" applyBorder="1" applyAlignment="1">
      <alignment horizontal="left" vertical="center" wrapText="1"/>
    </xf>
    <xf numFmtId="0" fontId="32" fillId="29" borderId="21" xfId="0" applyFont="1" applyFill="1" applyBorder="1" applyAlignment="1">
      <alignment horizontal="left" vertical="center"/>
    </xf>
    <xf numFmtId="0" fontId="32" fillId="39" borderId="44" xfId="0" applyFont="1" applyFill="1" applyBorder="1" applyAlignment="1">
      <alignment horizontal="left" vertical="center"/>
    </xf>
    <xf numFmtId="0" fontId="32" fillId="39" borderId="60" xfId="0" applyFont="1" applyFill="1" applyBorder="1" applyAlignment="1">
      <alignment horizontal="left" vertical="center"/>
    </xf>
    <xf numFmtId="0" fontId="32" fillId="39" borderId="56" xfId="0" applyFont="1" applyFill="1" applyBorder="1" applyAlignment="1">
      <alignment horizontal="left" vertical="center"/>
    </xf>
    <xf numFmtId="0" fontId="56" fillId="0" borderId="11" xfId="0" applyFont="1" applyBorder="1" applyAlignment="1">
      <alignment horizontal="left" vertical="center"/>
    </xf>
    <xf numFmtId="0" fontId="56" fillId="0" borderId="41" xfId="0" applyFont="1" applyBorder="1" applyAlignment="1">
      <alignment horizontal="left" vertical="center"/>
    </xf>
    <xf numFmtId="0" fontId="56" fillId="29" borderId="16" xfId="0" applyFont="1" applyFill="1" applyBorder="1" applyAlignment="1">
      <alignment horizontal="left" vertical="center"/>
    </xf>
    <xf numFmtId="0" fontId="56" fillId="29" borderId="28" xfId="0" applyFont="1" applyFill="1" applyBorder="1" applyAlignment="1">
      <alignment horizontal="left" vertical="center"/>
    </xf>
    <xf numFmtId="0" fontId="59" fillId="29" borderId="0" xfId="0" applyFont="1" applyFill="1" applyAlignment="1">
      <alignment horizontal="center" vertical="center"/>
    </xf>
    <xf numFmtId="0" fontId="32" fillId="0" borderId="39" xfId="0" applyFont="1" applyBorder="1" applyAlignment="1">
      <alignment horizontal="left" vertical="center"/>
    </xf>
    <xf numFmtId="0" fontId="32" fillId="0" borderId="20" xfId="0" applyFont="1" applyBorder="1" applyAlignment="1">
      <alignment horizontal="left" vertical="center"/>
    </xf>
    <xf numFmtId="0" fontId="32" fillId="0" borderId="21" xfId="0" applyFont="1" applyBorder="1" applyAlignment="1">
      <alignment horizontal="left" vertical="center"/>
    </xf>
    <xf numFmtId="0" fontId="32" fillId="0" borderId="33" xfId="0" applyFont="1" applyBorder="1" applyAlignment="1">
      <alignment horizontal="center" vertical="center"/>
    </xf>
    <xf numFmtId="0" fontId="32" fillId="0" borderId="19" xfId="0" applyFont="1" applyBorder="1" applyAlignment="1">
      <alignment horizontal="left" vertical="center" shrinkToFit="1"/>
    </xf>
    <xf numFmtId="0" fontId="32" fillId="0" borderId="33" xfId="0" applyFont="1" applyBorder="1" applyAlignment="1">
      <alignment horizontal="left" vertical="center" shrinkToFit="1"/>
    </xf>
    <xf numFmtId="0" fontId="32" fillId="0" borderId="35" xfId="0" applyFont="1" applyBorder="1" applyAlignment="1">
      <alignment horizontal="left" vertical="center" shrinkToFit="1"/>
    </xf>
    <xf numFmtId="0" fontId="32" fillId="0" borderId="37" xfId="0" applyFont="1" applyBorder="1" applyAlignment="1">
      <alignment horizontal="left" vertical="center"/>
    </xf>
    <xf numFmtId="0" fontId="32" fillId="0" borderId="24" xfId="0" applyFont="1" applyBorder="1" applyAlignment="1">
      <alignment horizontal="center" vertical="center"/>
    </xf>
    <xf numFmtId="0" fontId="32" fillId="0" borderId="34" xfId="0" applyFont="1" applyBorder="1" applyAlignment="1">
      <alignment horizontal="left" vertical="center" wrapText="1"/>
    </xf>
    <xf numFmtId="0" fontId="32" fillId="0" borderId="24" xfId="0" applyFont="1" applyBorder="1" applyAlignment="1">
      <alignment horizontal="left" vertical="center" shrinkToFit="1"/>
    </xf>
    <xf numFmtId="0" fontId="56" fillId="0" borderId="38" xfId="0" applyFont="1" applyBorder="1" applyAlignment="1">
      <alignment horizontal="left" vertical="center"/>
    </xf>
    <xf numFmtId="0" fontId="56" fillId="0" borderId="6" xfId="0" applyFont="1" applyBorder="1" applyAlignment="1">
      <alignment horizontal="left" vertical="center"/>
    </xf>
    <xf numFmtId="0" fontId="59" fillId="0" borderId="12" xfId="0" applyFont="1" applyBorder="1" applyAlignment="1">
      <alignment horizontal="center" vertical="center"/>
    </xf>
    <xf numFmtId="0" fontId="58" fillId="29" borderId="0" xfId="0" applyFont="1" applyFill="1" applyAlignment="1">
      <alignment horizontal="left" vertical="center"/>
    </xf>
    <xf numFmtId="0" fontId="33" fillId="0" borderId="39" xfId="0" applyFont="1" applyBorder="1" applyAlignment="1">
      <alignment horizontal="left" vertical="center"/>
    </xf>
    <xf numFmtId="0" fontId="32" fillId="0" borderId="45" xfId="0" applyFont="1" applyBorder="1" applyAlignment="1">
      <alignment horizontal="left" vertical="center"/>
    </xf>
    <xf numFmtId="0" fontId="32" fillId="0" borderId="35" xfId="0" applyFont="1" applyBorder="1" applyAlignment="1">
      <alignment horizontal="center" vertical="center"/>
    </xf>
    <xf numFmtId="0" fontId="32" fillId="0" borderId="33" xfId="0" applyFont="1" applyBorder="1" applyAlignment="1">
      <alignment horizontal="left" vertical="center"/>
    </xf>
    <xf numFmtId="0" fontId="32" fillId="0" borderId="35" xfId="0" applyFont="1" applyBorder="1" applyAlignment="1">
      <alignment horizontal="left" vertical="center"/>
    </xf>
    <xf numFmtId="0" fontId="32" fillId="0" borderId="24" xfId="0" applyFont="1" applyBorder="1" applyAlignment="1">
      <alignment horizontal="left" vertical="center"/>
    </xf>
    <xf numFmtId="0" fontId="56" fillId="0" borderId="36" xfId="0" applyFont="1" applyBorder="1" applyAlignment="1">
      <alignment horizontal="left" vertical="center"/>
    </xf>
    <xf numFmtId="0" fontId="59" fillId="0" borderId="0" xfId="0" applyFont="1" applyAlignment="1">
      <alignment horizontal="center" vertical="center"/>
    </xf>
    <xf numFmtId="0" fontId="32" fillId="0" borderId="32" xfId="0" applyFont="1" applyBorder="1" applyAlignment="1">
      <alignment horizontal="left" vertical="center" shrinkToFit="1"/>
    </xf>
    <xf numFmtId="0" fontId="33" fillId="0" borderId="31" xfId="0" applyFont="1" applyBorder="1" applyAlignment="1">
      <alignment horizontal="left" vertical="center"/>
    </xf>
    <xf numFmtId="0" fontId="58" fillId="0" borderId="0" xfId="0" applyFont="1" applyAlignment="1">
      <alignment horizontal="left" vertical="center"/>
    </xf>
    <xf numFmtId="0" fontId="32" fillId="0" borderId="32" xfId="0" applyFont="1" applyBorder="1" applyAlignment="1">
      <alignment horizontal="center" vertical="center" shrinkToFit="1"/>
    </xf>
    <xf numFmtId="0" fontId="32" fillId="0" borderId="34" xfId="0" applyFont="1" applyBorder="1" applyAlignment="1">
      <alignment horizontal="left" vertical="center" shrinkToFit="1"/>
    </xf>
    <xf numFmtId="0" fontId="56" fillId="0" borderId="43" xfId="0" applyFont="1" applyBorder="1" applyAlignment="1">
      <alignment horizontal="left" vertical="center"/>
    </xf>
    <xf numFmtId="0" fontId="59" fillId="0" borderId="14" xfId="0" applyFont="1" applyBorder="1" applyAlignment="1">
      <alignment horizontal="center" vertical="center"/>
    </xf>
    <xf numFmtId="0" fontId="32" fillId="39" borderId="6" xfId="0" applyFont="1" applyFill="1" applyBorder="1" applyAlignment="1">
      <alignment horizontal="left" vertical="center"/>
    </xf>
    <xf numFmtId="0" fontId="32" fillId="0" borderId="38" xfId="0" applyFont="1" applyBorder="1" applyAlignment="1">
      <alignment horizontal="center" vertical="center"/>
    </xf>
    <xf numFmtId="0" fontId="32" fillId="29" borderId="0" xfId="0" applyFont="1" applyFill="1" applyAlignment="1">
      <alignment horizontal="left" vertical="center" shrinkToFit="1"/>
    </xf>
    <xf numFmtId="0" fontId="33" fillId="29" borderId="31" xfId="0" applyFont="1" applyFill="1" applyBorder="1" applyAlignment="1">
      <alignment horizontal="left" vertical="center"/>
    </xf>
    <xf numFmtId="0" fontId="32" fillId="0" borderId="6" xfId="0" applyFont="1" applyBorder="1" applyAlignment="1">
      <alignment horizontal="left" vertical="center"/>
    </xf>
    <xf numFmtId="0" fontId="32" fillId="29" borderId="6" xfId="0" applyFont="1" applyFill="1" applyBorder="1" applyAlignment="1">
      <alignment horizontal="left" vertical="center"/>
    </xf>
    <xf numFmtId="2" fontId="61" fillId="25" borderId="28" xfId="0" applyNumberFormat="1" applyFont="1" applyFill="1" applyBorder="1" applyAlignment="1" applyProtection="1">
      <alignment horizontal="center" vertical="center"/>
      <protection locked="0"/>
    </xf>
    <xf numFmtId="2" fontId="22" fillId="25" borderId="28" xfId="0" applyNumberFormat="1" applyFont="1" applyFill="1" applyBorder="1" applyAlignment="1" applyProtection="1">
      <alignment horizontal="center" vertical="center" wrapText="1"/>
      <protection locked="0"/>
    </xf>
    <xf numFmtId="2" fontId="61" fillId="25" borderId="65" xfId="0" applyNumberFormat="1" applyFont="1" applyFill="1" applyBorder="1" applyAlignment="1" applyProtection="1">
      <alignment horizontal="center" vertical="center"/>
      <protection locked="0"/>
    </xf>
    <xf numFmtId="0" fontId="64" fillId="26" borderId="28" xfId="0" applyFont="1" applyFill="1" applyBorder="1" applyAlignment="1" applyProtection="1">
      <alignment horizontal="center" vertical="center" wrapText="1"/>
      <protection locked="0"/>
    </xf>
    <xf numFmtId="0" fontId="32" fillId="0" borderId="66" xfId="0" applyFont="1" applyBorder="1" applyAlignment="1">
      <alignment horizontal="left" vertical="center"/>
    </xf>
    <xf numFmtId="0" fontId="32" fillId="0" borderId="67" xfId="0" applyFont="1" applyBorder="1" applyAlignment="1">
      <alignment horizontal="left" vertical="center"/>
    </xf>
    <xf numFmtId="0" fontId="32" fillId="0" borderId="68" xfId="0" applyFont="1" applyBorder="1" applyAlignment="1">
      <alignment horizontal="left" vertical="center"/>
    </xf>
    <xf numFmtId="0" fontId="32" fillId="0" borderId="69" xfId="0" applyFont="1" applyBorder="1" applyAlignment="1">
      <alignment horizontal="left" vertical="center"/>
    </xf>
    <xf numFmtId="0" fontId="32" fillId="0" borderId="68" xfId="0" applyFont="1" applyBorder="1" applyAlignment="1">
      <alignment horizontal="center" vertical="center"/>
    </xf>
    <xf numFmtId="0" fontId="33" fillId="0" borderId="69" xfId="0" applyFont="1" applyBorder="1" applyAlignment="1">
      <alignment horizontal="left" vertical="center"/>
    </xf>
    <xf numFmtId="0" fontId="32" fillId="0" borderId="68" xfId="0" applyFont="1" applyBorder="1" applyAlignment="1">
      <alignment horizontal="left" vertical="center" shrinkToFit="1"/>
    </xf>
    <xf numFmtId="0" fontId="32" fillId="0" borderId="70" xfId="0" applyFont="1" applyBorder="1" applyAlignment="1">
      <alignment horizontal="left" vertical="center" shrinkToFit="1"/>
    </xf>
    <xf numFmtId="0" fontId="32" fillId="0" borderId="70" xfId="0" applyFont="1" applyBorder="1" applyAlignment="1">
      <alignment horizontal="center" vertical="center"/>
    </xf>
    <xf numFmtId="0" fontId="32" fillId="29" borderId="68" xfId="0" applyFont="1" applyFill="1" applyBorder="1" applyAlignment="1">
      <alignment horizontal="left" vertical="center"/>
    </xf>
    <xf numFmtId="0" fontId="32" fillId="29" borderId="70" xfId="0" applyFont="1" applyFill="1" applyBorder="1" applyAlignment="1">
      <alignment horizontal="left" vertical="center" shrinkToFit="1"/>
    </xf>
    <xf numFmtId="0" fontId="32" fillId="29" borderId="68" xfId="0" applyFont="1" applyFill="1" applyBorder="1" applyAlignment="1">
      <alignment horizontal="left" vertical="center" shrinkToFit="1"/>
    </xf>
    <xf numFmtId="0" fontId="32" fillId="29" borderId="69" xfId="0" applyFont="1" applyFill="1" applyBorder="1" applyAlignment="1">
      <alignment horizontal="left" vertical="center" shrinkToFit="1"/>
    </xf>
    <xf numFmtId="0" fontId="32" fillId="29" borderId="66" xfId="0" applyFont="1" applyFill="1" applyBorder="1" applyAlignment="1">
      <alignment horizontal="left" vertical="center" wrapText="1"/>
    </xf>
    <xf numFmtId="0" fontId="32" fillId="29" borderId="66" xfId="0" applyFont="1" applyFill="1" applyBorder="1" applyAlignment="1">
      <alignment horizontal="left" vertical="center"/>
    </xf>
    <xf numFmtId="0" fontId="32" fillId="29" borderId="66" xfId="0" applyFont="1" applyFill="1" applyBorder="1" applyAlignment="1">
      <alignment horizontal="left" vertical="center" shrinkToFit="1"/>
    </xf>
    <xf numFmtId="0" fontId="32" fillId="29" borderId="67" xfId="0" applyFont="1" applyFill="1" applyBorder="1" applyAlignment="1">
      <alignment horizontal="left" vertical="center"/>
    </xf>
    <xf numFmtId="0" fontId="32" fillId="29" borderId="69" xfId="0" applyFont="1" applyFill="1" applyBorder="1" applyAlignment="1">
      <alignment horizontal="left" vertical="center"/>
    </xf>
    <xf numFmtId="0" fontId="32" fillId="29" borderId="70" xfId="0" applyFont="1" applyFill="1" applyBorder="1" applyAlignment="1">
      <alignment horizontal="left" vertical="center"/>
    </xf>
    <xf numFmtId="1" fontId="32" fillId="29" borderId="68" xfId="0" applyNumberFormat="1" applyFont="1" applyFill="1" applyBorder="1" applyAlignment="1">
      <alignment horizontal="center" vertical="center"/>
    </xf>
    <xf numFmtId="0" fontId="32" fillId="0" borderId="69" xfId="0" applyFont="1" applyBorder="1" applyAlignment="1">
      <alignment horizontal="left" vertical="center" wrapText="1" shrinkToFit="1"/>
    </xf>
    <xf numFmtId="0" fontId="32" fillId="0" borderId="66" xfId="0" applyFont="1" applyBorder="1" applyAlignment="1">
      <alignment horizontal="left" vertical="center" shrinkToFit="1"/>
    </xf>
    <xf numFmtId="0" fontId="32" fillId="0" borderId="68" xfId="0" applyFont="1" applyBorder="1" applyAlignment="1">
      <alignment horizontal="center" vertical="center" shrinkToFit="1"/>
    </xf>
    <xf numFmtId="0" fontId="0" fillId="0" borderId="66" xfId="0" applyBorder="1" applyAlignment="1">
      <alignment horizontal="center"/>
    </xf>
    <xf numFmtId="0" fontId="0" fillId="0" borderId="69" xfId="0" applyBorder="1" applyAlignment="1">
      <alignment horizontal="center"/>
    </xf>
    <xf numFmtId="49" fontId="65" fillId="26" borderId="11" xfId="0" applyNumberFormat="1" applyFont="1" applyFill="1" applyBorder="1" applyAlignment="1" applyProtection="1">
      <alignment horizontal="center" vertical="center"/>
      <protection locked="0"/>
    </xf>
    <xf numFmtId="164" fontId="62" fillId="26" borderId="27" xfId="0" applyNumberFormat="1" applyFont="1" applyFill="1" applyBorder="1" applyAlignment="1" applyProtection="1">
      <alignment horizontal="left" vertical="center"/>
      <protection locked="0"/>
    </xf>
    <xf numFmtId="164" fontId="62" fillId="26" borderId="60" xfId="0" applyNumberFormat="1" applyFont="1" applyFill="1" applyBorder="1" applyAlignment="1" applyProtection="1">
      <alignment horizontal="left" vertical="center"/>
      <protection locked="0"/>
    </xf>
    <xf numFmtId="0" fontId="66" fillId="26" borderId="59" xfId="0" applyFont="1" applyFill="1" applyBorder="1" applyAlignment="1" applyProtection="1">
      <alignment horizontal="center" vertical="center" wrapText="1"/>
      <protection locked="0"/>
    </xf>
    <xf numFmtId="2" fontId="22" fillId="26" borderId="27" xfId="0" applyNumberFormat="1" applyFont="1" applyFill="1" applyBorder="1" applyAlignment="1" applyProtection="1">
      <alignment horizontal="center" vertical="center" wrapText="1"/>
      <protection locked="0"/>
    </xf>
    <xf numFmtId="2" fontId="61" fillId="27" borderId="16" xfId="0" applyNumberFormat="1" applyFont="1" applyFill="1" applyBorder="1" applyAlignment="1" applyProtection="1">
      <alignment horizontal="center" vertical="center"/>
      <protection locked="0"/>
    </xf>
    <xf numFmtId="2" fontId="61" fillId="27" borderId="28" xfId="0" applyNumberFormat="1" applyFont="1" applyFill="1" applyBorder="1" applyAlignment="1" applyProtection="1">
      <alignment horizontal="center" vertical="center"/>
      <protection locked="0"/>
    </xf>
    <xf numFmtId="2" fontId="22" fillId="25" borderId="16" xfId="0" applyNumberFormat="1" applyFont="1" applyFill="1" applyBorder="1" applyAlignment="1" applyProtection="1">
      <alignment horizontal="center" vertical="center" wrapText="1"/>
      <protection locked="0"/>
    </xf>
    <xf numFmtId="0" fontId="23" fillId="63" borderId="71" xfId="0" applyFont="1" applyFill="1" applyBorder="1" applyAlignment="1" applyProtection="1">
      <alignment horizontal="center" vertical="center" wrapText="1"/>
      <protection locked="0"/>
    </xf>
    <xf numFmtId="0" fontId="3" fillId="63" borderId="71" xfId="0" applyFont="1" applyFill="1" applyBorder="1" applyAlignment="1" applyProtection="1">
      <alignment horizontal="center" vertical="center"/>
      <protection locked="0"/>
    </xf>
    <xf numFmtId="0" fontId="88" fillId="25" borderId="16" xfId="0" applyFont="1" applyFill="1" applyBorder="1" applyAlignment="1" applyProtection="1">
      <alignment horizontal="center" vertical="center"/>
      <protection locked="0"/>
    </xf>
    <xf numFmtId="0" fontId="89" fillId="25" borderId="16" xfId="0" applyFont="1" applyFill="1" applyBorder="1" applyAlignment="1" applyProtection="1">
      <alignment vertical="center"/>
      <protection locked="0"/>
    </xf>
    <xf numFmtId="165" fontId="69" fillId="25" borderId="18" xfId="0" applyNumberFormat="1" applyFont="1" applyFill="1" applyBorder="1" applyAlignment="1" applyProtection="1">
      <alignment horizontal="right" vertical="center"/>
      <protection locked="0"/>
    </xf>
    <xf numFmtId="0" fontId="32" fillId="29" borderId="72" xfId="0" applyFont="1" applyFill="1" applyBorder="1" applyAlignment="1">
      <alignment horizontal="left" vertical="center"/>
    </xf>
    <xf numFmtId="0" fontId="0" fillId="0" borderId="72" xfId="0" applyBorder="1" applyAlignment="1">
      <alignment horizontal="center"/>
    </xf>
    <xf numFmtId="0" fontId="23" fillId="63" borderId="72" xfId="0" applyFont="1" applyFill="1" applyBorder="1" applyAlignment="1" applyProtection="1">
      <alignment horizontal="center" vertical="center" wrapText="1"/>
      <protection locked="0"/>
    </xf>
    <xf numFmtId="14" fontId="23" fillId="63" borderId="72" xfId="0" applyNumberFormat="1" applyFont="1" applyFill="1" applyBorder="1" applyAlignment="1" applyProtection="1">
      <alignment horizontal="center" vertical="center" wrapText="1"/>
      <protection locked="0"/>
    </xf>
    <xf numFmtId="0" fontId="3" fillId="63" borderId="72" xfId="0" applyFont="1" applyFill="1" applyBorder="1" applyAlignment="1" applyProtection="1">
      <alignment horizontal="center" vertical="center"/>
      <protection locked="0"/>
    </xf>
    <xf numFmtId="164" fontId="3" fillId="63" borderId="72" xfId="0" applyNumberFormat="1" applyFont="1" applyFill="1" applyBorder="1" applyAlignment="1" applyProtection="1">
      <alignment horizontal="center" vertical="center"/>
      <protection locked="0"/>
    </xf>
    <xf numFmtId="0" fontId="3" fillId="63" borderId="72" xfId="0" applyFont="1" applyFill="1" applyBorder="1" applyAlignment="1" applyProtection="1">
      <alignment horizontal="center" vertical="center" wrapText="1"/>
      <protection locked="0"/>
    </xf>
    <xf numFmtId="1" fontId="61" fillId="64" borderId="72" xfId="0" applyNumberFormat="1" applyFont="1" applyFill="1" applyBorder="1" applyAlignment="1" applyProtection="1">
      <alignment horizontal="center" vertical="center"/>
      <protection locked="0"/>
    </xf>
    <xf numFmtId="0" fontId="0" fillId="0" borderId="74" xfId="0" applyBorder="1" applyAlignment="1">
      <alignment horizontal="center"/>
    </xf>
    <xf numFmtId="0" fontId="3" fillId="63" borderId="74" xfId="0" applyFont="1" applyFill="1" applyBorder="1" applyAlignment="1" applyProtection="1">
      <alignment horizontal="center" vertical="center" wrapText="1"/>
      <protection locked="0"/>
    </xf>
    <xf numFmtId="0" fontId="88" fillId="25" borderId="16" xfId="0" applyFont="1" applyFill="1" applyBorder="1" applyAlignment="1" applyProtection="1">
      <alignment horizontal="center" vertical="center" wrapText="1"/>
      <protection locked="0"/>
    </xf>
    <xf numFmtId="0" fontId="3" fillId="63" borderId="71" xfId="0" applyFont="1" applyFill="1" applyBorder="1" applyAlignment="1" applyProtection="1">
      <alignment horizontal="center" vertical="center" wrapText="1"/>
      <protection locked="0"/>
    </xf>
    <xf numFmtId="0" fontId="26" fillId="0" borderId="8" xfId="0" applyFont="1" applyBorder="1" applyAlignment="1" applyProtection="1">
      <alignment vertical="center"/>
      <protection locked="0"/>
    </xf>
    <xf numFmtId="0" fontId="32" fillId="39" borderId="75" xfId="0" applyFont="1" applyFill="1" applyBorder="1" applyAlignment="1">
      <alignment horizontal="left" vertical="center"/>
    </xf>
    <xf numFmtId="0" fontId="32" fillId="0" borderId="76" xfId="0" applyFont="1" applyBorder="1" applyAlignment="1">
      <alignment horizontal="left" vertical="center"/>
    </xf>
    <xf numFmtId="0" fontId="32" fillId="0" borderId="77" xfId="0" applyFont="1" applyBorder="1" applyAlignment="1">
      <alignment horizontal="left" vertical="center"/>
    </xf>
    <xf numFmtId="0" fontId="32" fillId="0" borderId="78" xfId="0" applyFont="1" applyBorder="1" applyAlignment="1">
      <alignment horizontal="left" vertical="center"/>
    </xf>
    <xf numFmtId="0" fontId="32" fillId="0" borderId="78" xfId="0" applyFont="1" applyBorder="1" applyAlignment="1">
      <alignment horizontal="left" vertical="center" shrinkToFit="1"/>
    </xf>
    <xf numFmtId="0" fontId="33" fillId="0" borderId="76" xfId="0" applyFont="1" applyBorder="1" applyAlignment="1">
      <alignment horizontal="left" vertical="center"/>
    </xf>
    <xf numFmtId="0" fontId="32" fillId="29" borderId="77" xfId="0" applyFont="1" applyFill="1" applyBorder="1" applyAlignment="1">
      <alignment horizontal="left" vertical="center"/>
    </xf>
    <xf numFmtId="0" fontId="32" fillId="29" borderId="76" xfId="0" applyFont="1" applyFill="1" applyBorder="1" applyAlignment="1">
      <alignment horizontal="left" vertical="center"/>
    </xf>
    <xf numFmtId="0" fontId="32" fillId="0" borderId="75" xfId="0" applyFont="1" applyBorder="1" applyAlignment="1">
      <alignment horizontal="left" vertical="center" shrinkToFit="1"/>
    </xf>
    <xf numFmtId="0" fontId="32" fillId="0" borderId="75" xfId="0" applyFont="1" applyBorder="1" applyAlignment="1">
      <alignment horizontal="left" vertical="center"/>
    </xf>
    <xf numFmtId="0" fontId="32" fillId="29" borderId="76" xfId="0" applyFont="1" applyFill="1" applyBorder="1" applyAlignment="1">
      <alignment horizontal="left" vertical="center" shrinkToFit="1"/>
    </xf>
    <xf numFmtId="0" fontId="32" fillId="29" borderId="78" xfId="0" applyFont="1" applyFill="1" applyBorder="1" applyAlignment="1">
      <alignment horizontal="left" vertical="center"/>
    </xf>
    <xf numFmtId="0" fontId="32" fillId="29" borderId="75" xfId="0" applyFont="1" applyFill="1" applyBorder="1" applyAlignment="1">
      <alignment horizontal="left" vertical="center" shrinkToFit="1"/>
    </xf>
    <xf numFmtId="0" fontId="32" fillId="29" borderId="78" xfId="0" applyFont="1" applyFill="1" applyBorder="1" applyAlignment="1">
      <alignment horizontal="left" vertical="center" shrinkToFit="1"/>
    </xf>
    <xf numFmtId="0" fontId="32" fillId="29" borderId="77" xfId="0" applyFont="1" applyFill="1" applyBorder="1" applyAlignment="1">
      <alignment horizontal="left" vertical="center" shrinkToFit="1"/>
    </xf>
    <xf numFmtId="0" fontId="32" fillId="0" borderId="78" xfId="0" applyFont="1" applyBorder="1" applyAlignment="1">
      <alignment horizontal="center" vertical="center" shrinkToFit="1"/>
    </xf>
    <xf numFmtId="0" fontId="32" fillId="0" borderId="78" xfId="0" applyFont="1" applyBorder="1" applyAlignment="1">
      <alignment horizontal="center" vertical="center"/>
    </xf>
    <xf numFmtId="0" fontId="32" fillId="39" borderId="78" xfId="0" applyFont="1" applyFill="1" applyBorder="1" applyAlignment="1">
      <alignment horizontal="left" vertical="center"/>
    </xf>
    <xf numFmtId="1" fontId="32" fillId="29" borderId="78" xfId="0" applyNumberFormat="1" applyFont="1" applyFill="1" applyBorder="1" applyAlignment="1">
      <alignment horizontal="center" vertical="center" wrapText="1"/>
    </xf>
    <xf numFmtId="1" fontId="32" fillId="29" borderId="78" xfId="0" applyNumberFormat="1" applyFont="1" applyFill="1" applyBorder="1" applyAlignment="1">
      <alignment horizontal="center" vertical="center"/>
    </xf>
    <xf numFmtId="0" fontId="33" fillId="39" borderId="78" xfId="0" applyFont="1" applyFill="1" applyBorder="1" applyAlignment="1">
      <alignment horizontal="left" vertical="center"/>
    </xf>
    <xf numFmtId="1" fontId="32" fillId="29" borderId="79" xfId="0" applyNumberFormat="1" applyFont="1" applyFill="1" applyBorder="1" applyAlignment="1">
      <alignment horizontal="center" vertical="center"/>
    </xf>
    <xf numFmtId="0" fontId="32" fillId="0" borderId="77" xfId="0" applyFont="1" applyBorder="1" applyAlignment="1">
      <alignment horizontal="left" vertical="center" shrinkToFit="1"/>
    </xf>
    <xf numFmtId="0" fontId="32" fillId="39" borderId="79" xfId="0" applyFont="1" applyFill="1" applyBorder="1" applyAlignment="1">
      <alignment horizontal="left" vertical="center"/>
    </xf>
    <xf numFmtId="0" fontId="32" fillId="0" borderId="80" xfId="0" applyFont="1" applyBorder="1" applyAlignment="1">
      <alignment horizontal="left" vertical="center"/>
    </xf>
    <xf numFmtId="0" fontId="32" fillId="0" borderId="81" xfId="0" applyFont="1" applyBorder="1" applyAlignment="1">
      <alignment horizontal="left" vertical="center"/>
    </xf>
    <xf numFmtId="0" fontId="32" fillId="0" borderId="80" xfId="0" applyFont="1" applyBorder="1" applyAlignment="1">
      <alignment horizontal="left" vertical="center" shrinkToFit="1"/>
    </xf>
    <xf numFmtId="0" fontId="32" fillId="0" borderId="76" xfId="0" applyFont="1" applyBorder="1" applyAlignment="1">
      <alignment horizontal="left" vertical="center" shrinkToFit="1"/>
    </xf>
    <xf numFmtId="0" fontId="32" fillId="0" borderId="77" xfId="0" applyFont="1" applyBorder="1" applyAlignment="1">
      <alignment horizontal="left" vertical="center" wrapText="1" shrinkToFit="1"/>
    </xf>
    <xf numFmtId="0" fontId="0" fillId="29" borderId="76" xfId="0" applyFill="1" applyBorder="1" applyAlignment="1">
      <alignment horizontal="left"/>
    </xf>
    <xf numFmtId="0" fontId="0" fillId="34" borderId="77" xfId="0" applyFill="1" applyBorder="1" applyAlignment="1">
      <alignment horizontal="center"/>
    </xf>
    <xf numFmtId="0" fontId="0" fillId="0" borderId="76" xfId="0" applyBorder="1"/>
    <xf numFmtId="0" fontId="0" fillId="0" borderId="81" xfId="0" applyBorder="1"/>
    <xf numFmtId="0" fontId="0" fillId="34" borderId="80" xfId="0" applyFill="1" applyBorder="1" applyAlignment="1">
      <alignment horizontal="center"/>
    </xf>
    <xf numFmtId="0" fontId="0" fillId="32" borderId="77" xfId="0" applyFill="1" applyBorder="1" applyAlignment="1">
      <alignment horizontal="center"/>
    </xf>
    <xf numFmtId="0" fontId="0" fillId="0" borderId="76" xfId="0" applyBorder="1" applyAlignment="1">
      <alignment horizontal="center"/>
    </xf>
    <xf numFmtId="0" fontId="0" fillId="30" borderId="77" xfId="0" applyFill="1" applyBorder="1" applyAlignment="1">
      <alignment horizontal="center"/>
    </xf>
    <xf numFmtId="0" fontId="62" fillId="25" borderId="82" xfId="0" applyFont="1" applyFill="1" applyBorder="1" applyAlignment="1" applyProtection="1">
      <alignment horizontal="center" vertical="center" wrapText="1"/>
      <protection locked="0"/>
    </xf>
    <xf numFmtId="0" fontId="67" fillId="25" borderId="83" xfId="0" applyFont="1" applyFill="1" applyBorder="1" applyAlignment="1" applyProtection="1">
      <alignment horizontal="center" vertical="center" wrapText="1"/>
      <protection locked="0"/>
    </xf>
    <xf numFmtId="0" fontId="67" fillId="25" borderId="83" xfId="0" applyFont="1" applyFill="1" applyBorder="1" applyAlignment="1" applyProtection="1">
      <alignment horizontal="center" vertical="center"/>
      <protection locked="0"/>
    </xf>
    <xf numFmtId="0" fontId="68" fillId="25" borderId="83" xfId="0" applyFont="1" applyFill="1" applyBorder="1" applyAlignment="1" applyProtection="1">
      <alignment vertical="center"/>
      <protection locked="0"/>
    </xf>
    <xf numFmtId="0" fontId="3" fillId="63" borderId="85" xfId="0" applyFont="1" applyFill="1" applyBorder="1" applyAlignment="1" applyProtection="1">
      <alignment horizontal="center" vertical="center"/>
      <protection locked="0"/>
    </xf>
    <xf numFmtId="0" fontId="23" fillId="63" borderId="86" xfId="0" applyFont="1" applyFill="1" applyBorder="1" applyAlignment="1" applyProtection="1">
      <alignment horizontal="center" vertical="center" wrapText="1"/>
      <protection locked="0"/>
    </xf>
    <xf numFmtId="0" fontId="61" fillId="28" borderId="86" xfId="0" applyFont="1" applyFill="1" applyBorder="1" applyAlignment="1" applyProtection="1">
      <alignment horizontal="center" vertical="center" wrapText="1"/>
      <protection locked="0"/>
    </xf>
    <xf numFmtId="0" fontId="23" fillId="63" borderId="87" xfId="0" applyFont="1" applyFill="1" applyBorder="1" applyAlignment="1" applyProtection="1">
      <alignment horizontal="center" vertical="center" wrapText="1"/>
      <protection locked="0"/>
    </xf>
    <xf numFmtId="0" fontId="61" fillId="28" borderId="87" xfId="0" applyFont="1" applyFill="1" applyBorder="1" applyAlignment="1" applyProtection="1">
      <alignment horizontal="center" vertical="center" wrapText="1"/>
      <protection locked="0"/>
    </xf>
    <xf numFmtId="0" fontId="32" fillId="0" borderId="87" xfId="0" applyFont="1" applyBorder="1" applyAlignment="1">
      <alignment horizontal="left" vertical="center"/>
    </xf>
    <xf numFmtId="0" fontId="32" fillId="0" borderId="86" xfId="0" applyFont="1" applyBorder="1" applyAlignment="1">
      <alignment horizontal="left" vertical="center"/>
    </xf>
    <xf numFmtId="0" fontId="80" fillId="0" borderId="87" xfId="0" applyFont="1" applyBorder="1" applyAlignment="1">
      <alignment horizontal="left" vertical="center"/>
    </xf>
    <xf numFmtId="0" fontId="33" fillId="29" borderId="87" xfId="0" applyFont="1" applyFill="1" applyBorder="1" applyAlignment="1">
      <alignment horizontal="left" vertical="center" shrinkToFit="1"/>
    </xf>
    <xf numFmtId="0" fontId="32" fillId="29" borderId="87" xfId="0" applyFont="1" applyFill="1" applyBorder="1" applyAlignment="1">
      <alignment horizontal="left" vertical="center" shrinkToFit="1"/>
    </xf>
    <xf numFmtId="0" fontId="32" fillId="29" borderId="87" xfId="0" applyFont="1" applyFill="1" applyBorder="1" applyAlignment="1">
      <alignment horizontal="left" vertical="center"/>
    </xf>
    <xf numFmtId="0" fontId="32" fillId="29" borderId="87" xfId="0" applyFont="1" applyFill="1" applyBorder="1" applyAlignment="1">
      <alignment horizontal="left" vertical="center" wrapText="1"/>
    </xf>
    <xf numFmtId="0" fontId="32" fillId="29" borderId="86" xfId="0" applyFont="1" applyFill="1" applyBorder="1" applyAlignment="1">
      <alignment horizontal="left" vertical="center"/>
    </xf>
    <xf numFmtId="0" fontId="32" fillId="0" borderId="87" xfId="0" applyFont="1" applyBorder="1" applyAlignment="1">
      <alignment horizontal="left" vertical="center" shrinkToFit="1"/>
    </xf>
    <xf numFmtId="0" fontId="32" fillId="0" borderId="86" xfId="0" applyFont="1" applyBorder="1" applyAlignment="1">
      <alignment horizontal="left" vertical="center" shrinkToFit="1"/>
    </xf>
    <xf numFmtId="0" fontId="0" fillId="29" borderId="87" xfId="0" applyFill="1" applyBorder="1" applyAlignment="1">
      <alignment horizontal="center"/>
    </xf>
    <xf numFmtId="0" fontId="0" fillId="34" borderId="87" xfId="0" applyFill="1" applyBorder="1" applyAlignment="1">
      <alignment horizontal="center"/>
    </xf>
    <xf numFmtId="0" fontId="0" fillId="0" borderId="87" xfId="0" applyBorder="1" applyAlignment="1">
      <alignment horizontal="center"/>
    </xf>
    <xf numFmtId="0" fontId="0" fillId="0" borderId="86" xfId="0" applyBorder="1" applyAlignment="1">
      <alignment horizontal="center"/>
    </xf>
    <xf numFmtId="0" fontId="3" fillId="63" borderId="86" xfId="0" applyFont="1" applyFill="1" applyBorder="1" applyAlignment="1" applyProtection="1">
      <alignment horizontal="center" vertical="center" wrapText="1"/>
      <protection locked="0"/>
    </xf>
    <xf numFmtId="14" fontId="3" fillId="63" borderId="86" xfId="0" applyNumberFormat="1" applyFont="1" applyFill="1" applyBorder="1" applyAlignment="1" applyProtection="1">
      <alignment horizontal="center" vertical="center" wrapText="1"/>
      <protection locked="0"/>
    </xf>
    <xf numFmtId="0" fontId="3" fillId="63" borderId="87" xfId="0" applyFont="1" applyFill="1" applyBorder="1" applyAlignment="1" applyProtection="1">
      <alignment horizontal="center" vertical="center" wrapText="1"/>
      <protection locked="0"/>
    </xf>
    <xf numFmtId="3" fontId="91" fillId="63" borderId="86" xfId="0" applyNumberFormat="1" applyFont="1" applyFill="1" applyBorder="1" applyAlignment="1" applyProtection="1">
      <alignment horizontal="center" vertical="center" wrapText="1"/>
      <protection locked="0"/>
    </xf>
    <xf numFmtId="3" fontId="91" fillId="63" borderId="87" xfId="0" applyNumberFormat="1" applyFont="1" applyFill="1" applyBorder="1" applyAlignment="1" applyProtection="1">
      <alignment horizontal="center" vertical="center" wrapText="1"/>
      <protection locked="0"/>
    </xf>
    <xf numFmtId="0" fontId="87" fillId="28" borderId="86" xfId="0" applyFont="1" applyFill="1" applyBorder="1" applyAlignment="1" applyProtection="1">
      <alignment horizontal="center" vertical="center" wrapText="1"/>
      <protection locked="0"/>
    </xf>
    <xf numFmtId="1" fontId="87" fillId="28" borderId="86" xfId="0" applyNumberFormat="1" applyFont="1" applyFill="1" applyBorder="1" applyAlignment="1" applyProtection="1">
      <alignment horizontal="center" vertical="center"/>
      <protection locked="0"/>
    </xf>
    <xf numFmtId="14" fontId="23" fillId="63" borderId="87" xfId="0" applyNumberFormat="1" applyFont="1" applyFill="1" applyBorder="1" applyAlignment="1" applyProtection="1">
      <alignment horizontal="center" vertical="center" wrapText="1"/>
      <protection locked="0"/>
    </xf>
    <xf numFmtId="3" fontId="71" fillId="63" borderId="87" xfId="0" applyNumberFormat="1" applyFont="1" applyFill="1" applyBorder="1" applyAlignment="1" applyProtection="1">
      <alignment horizontal="center" vertical="center" wrapText="1"/>
      <protection locked="0"/>
    </xf>
    <xf numFmtId="0" fontId="83" fillId="63" borderId="87" xfId="0" applyFont="1" applyFill="1" applyBorder="1" applyAlignment="1" applyProtection="1">
      <alignment horizontal="left" vertical="center" wrapText="1"/>
      <protection locked="0"/>
    </xf>
    <xf numFmtId="1" fontId="61" fillId="28" borderId="87" xfId="0" applyNumberFormat="1" applyFont="1" applyFill="1" applyBorder="1" applyAlignment="1" applyProtection="1">
      <alignment horizontal="center" vertical="center"/>
      <protection locked="0"/>
    </xf>
    <xf numFmtId="14" fontId="23" fillId="63" borderId="86" xfId="0" applyNumberFormat="1" applyFont="1" applyFill="1" applyBorder="1" applyAlignment="1" applyProtection="1">
      <alignment horizontal="center" vertical="center" wrapText="1"/>
      <protection locked="0"/>
    </xf>
    <xf numFmtId="0" fontId="23" fillId="70" borderId="86" xfId="0" applyFont="1" applyFill="1" applyBorder="1" applyAlignment="1" applyProtection="1">
      <alignment horizontal="center" vertical="center" wrapText="1"/>
      <protection locked="0"/>
    </xf>
    <xf numFmtId="0" fontId="61" fillId="28" borderId="86" xfId="0" applyFont="1" applyFill="1" applyBorder="1" applyAlignment="1" applyProtection="1">
      <alignment horizontal="center" vertical="center"/>
      <protection locked="0"/>
    </xf>
    <xf numFmtId="0" fontId="3" fillId="63" borderId="86" xfId="0" applyFont="1" applyFill="1" applyBorder="1" applyAlignment="1" applyProtection="1">
      <alignment horizontal="center" vertical="center"/>
      <protection locked="0"/>
    </xf>
    <xf numFmtId="164" fontId="3" fillId="63" borderId="87" xfId="0" applyNumberFormat="1" applyFont="1" applyFill="1" applyBorder="1" applyAlignment="1" applyProtection="1">
      <alignment horizontal="center" vertical="center"/>
      <protection locked="0"/>
    </xf>
    <xf numFmtId="0" fontId="84" fillId="63" borderId="86" xfId="0" applyFont="1" applyFill="1" applyBorder="1" applyAlignment="1" applyProtection="1">
      <alignment horizontal="left" vertical="center" wrapText="1"/>
      <protection locked="0"/>
    </xf>
    <xf numFmtId="0" fontId="61" fillId="64" borderId="86" xfId="0" applyFont="1" applyFill="1" applyBorder="1" applyAlignment="1" applyProtection="1">
      <alignment horizontal="center" vertical="center"/>
      <protection locked="0"/>
    </xf>
    <xf numFmtId="0" fontId="61" fillId="64" borderId="86" xfId="144" applyNumberFormat="1" applyFont="1" applyFill="1" applyBorder="1" applyAlignment="1" applyProtection="1">
      <alignment horizontal="center" vertical="center"/>
      <protection locked="0"/>
    </xf>
    <xf numFmtId="14" fontId="3" fillId="63" borderId="87" xfId="0" applyNumberFormat="1" applyFont="1" applyFill="1" applyBorder="1" applyAlignment="1" applyProtection="1">
      <alignment horizontal="center" vertical="center" wrapText="1"/>
      <protection locked="0"/>
    </xf>
    <xf numFmtId="0" fontId="87" fillId="64" borderId="87" xfId="0" applyFont="1" applyFill="1" applyBorder="1" applyAlignment="1" applyProtection="1">
      <alignment horizontal="center" vertical="center"/>
      <protection locked="0"/>
    </xf>
    <xf numFmtId="2" fontId="87" fillId="64" borderId="87" xfId="0" applyNumberFormat="1" applyFont="1" applyFill="1" applyBorder="1" applyAlignment="1" applyProtection="1">
      <alignment horizontal="center" vertical="center"/>
      <protection locked="0"/>
    </xf>
    <xf numFmtId="1" fontId="87" fillId="64" borderId="87" xfId="0" applyNumberFormat="1" applyFont="1" applyFill="1" applyBorder="1" applyAlignment="1" applyProtection="1">
      <alignment horizontal="center" vertical="center"/>
      <protection locked="0"/>
    </xf>
    <xf numFmtId="164" fontId="3" fillId="63" borderId="86" xfId="0" applyNumberFormat="1" applyFont="1" applyFill="1" applyBorder="1" applyAlignment="1" applyProtection="1">
      <alignment horizontal="center" vertical="center"/>
      <protection locked="0"/>
    </xf>
    <xf numFmtId="0" fontId="87" fillId="64" borderId="86" xfId="0" applyFont="1" applyFill="1" applyBorder="1" applyAlignment="1" applyProtection="1">
      <alignment horizontal="center" vertical="center"/>
      <protection locked="0"/>
    </xf>
    <xf numFmtId="0" fontId="87" fillId="64" borderId="86" xfId="144" applyNumberFormat="1" applyFont="1" applyFill="1" applyBorder="1" applyAlignment="1" applyProtection="1">
      <alignment horizontal="center" vertical="center"/>
      <protection locked="0"/>
    </xf>
    <xf numFmtId="0" fontId="3" fillId="63" borderId="87" xfId="0" applyFont="1" applyFill="1" applyBorder="1" applyAlignment="1" applyProtection="1">
      <alignment horizontal="center" vertical="center"/>
      <protection locked="0"/>
    </xf>
    <xf numFmtId="0" fontId="87" fillId="28" borderId="87" xfId="0" applyFont="1" applyFill="1" applyBorder="1" applyAlignment="1" applyProtection="1">
      <alignment horizontal="center" vertical="center" wrapText="1"/>
      <protection locked="0"/>
    </xf>
    <xf numFmtId="1" fontId="87" fillId="28" borderId="87" xfId="0" applyNumberFormat="1" applyFont="1" applyFill="1" applyBorder="1" applyAlignment="1" applyProtection="1">
      <alignment horizontal="center" vertical="center"/>
      <protection locked="0"/>
    </xf>
    <xf numFmtId="2" fontId="87" fillId="25" borderId="28" xfId="0" applyNumberFormat="1" applyFont="1" applyFill="1" applyBorder="1" applyAlignment="1" applyProtection="1">
      <alignment horizontal="center" vertical="center"/>
      <protection locked="0"/>
    </xf>
    <xf numFmtId="0" fontId="93" fillId="25" borderId="41" xfId="0" applyFont="1" applyFill="1" applyBorder="1" applyAlignment="1" applyProtection="1">
      <alignment horizontal="center" vertical="center" wrapText="1"/>
      <protection locked="0"/>
    </xf>
    <xf numFmtId="0" fontId="23" fillId="63" borderId="88" xfId="0" applyFont="1" applyFill="1" applyBorder="1" applyAlignment="1" applyProtection="1">
      <alignment horizontal="center" vertical="center" wrapText="1"/>
      <protection locked="0"/>
    </xf>
    <xf numFmtId="0" fontId="32" fillId="29" borderId="88" xfId="0" applyFont="1" applyFill="1" applyBorder="1" applyAlignment="1">
      <alignment horizontal="left" vertical="center"/>
    </xf>
    <xf numFmtId="0" fontId="32" fillId="0" borderId="88" xfId="0" applyFont="1" applyBorder="1" applyAlignment="1">
      <alignment horizontal="left" vertical="center" shrinkToFit="1"/>
    </xf>
    <xf numFmtId="0" fontId="0" fillId="0" borderId="88" xfId="0" applyBorder="1" applyAlignment="1">
      <alignment horizontal="center"/>
    </xf>
    <xf numFmtId="0" fontId="3" fillId="63" borderId="88" xfId="0" applyFont="1" applyFill="1" applyBorder="1" applyAlignment="1" applyProtection="1">
      <alignment horizontal="center" vertical="center" wrapText="1"/>
      <protection locked="0"/>
    </xf>
    <xf numFmtId="0" fontId="88" fillId="25" borderId="18" xfId="0" applyFont="1" applyFill="1" applyBorder="1" applyAlignment="1" applyProtection="1">
      <alignment horizontal="center" vertical="center"/>
      <protection locked="0"/>
    </xf>
    <xf numFmtId="0" fontId="67" fillId="25" borderId="89" xfId="0" applyFont="1" applyFill="1" applyBorder="1" applyAlignment="1" applyProtection="1">
      <alignment horizontal="center" vertical="center" wrapText="1"/>
      <protection locked="0"/>
    </xf>
    <xf numFmtId="0" fontId="68" fillId="25" borderId="89" xfId="0" applyFont="1" applyFill="1" applyBorder="1" applyAlignment="1" applyProtection="1">
      <alignment vertical="center"/>
      <protection locked="0"/>
    </xf>
    <xf numFmtId="0" fontId="3" fillId="63" borderId="90" xfId="0" applyFont="1" applyFill="1" applyBorder="1" applyAlignment="1" applyProtection="1">
      <alignment horizontal="center" vertical="center" wrapText="1"/>
      <protection locked="0"/>
    </xf>
    <xf numFmtId="0" fontId="86" fillId="70" borderId="87" xfId="0" applyFont="1" applyFill="1" applyBorder="1" applyAlignment="1" applyProtection="1">
      <alignment horizontal="center" vertical="center" wrapText="1"/>
      <protection locked="0"/>
    </xf>
    <xf numFmtId="0" fontId="3" fillId="63" borderId="91" xfId="0" applyFont="1" applyFill="1" applyBorder="1" applyAlignment="1" applyProtection="1">
      <alignment horizontal="center" vertical="center" wrapText="1"/>
      <protection locked="0"/>
    </xf>
    <xf numFmtId="165" fontId="61" fillId="64" borderId="72" xfId="0" applyNumberFormat="1" applyFont="1" applyFill="1" applyBorder="1" applyAlignment="1" applyProtection="1">
      <alignment horizontal="center" vertical="center"/>
      <protection locked="0"/>
    </xf>
    <xf numFmtId="14" fontId="3" fillId="63" borderId="71" xfId="0" applyNumberFormat="1" applyFont="1" applyFill="1" applyBorder="1" applyAlignment="1" applyProtection="1">
      <alignment horizontal="center" vertical="center" wrapText="1"/>
      <protection locked="0"/>
    </xf>
    <xf numFmtId="0" fontId="87" fillId="64" borderId="71" xfId="0" applyFont="1" applyFill="1" applyBorder="1" applyAlignment="1" applyProtection="1">
      <alignment horizontal="center" vertical="center"/>
      <protection locked="0"/>
    </xf>
    <xf numFmtId="164" fontId="3" fillId="63" borderId="71" xfId="0" applyNumberFormat="1" applyFont="1" applyFill="1" applyBorder="1" applyAlignment="1" applyProtection="1">
      <alignment horizontal="center" vertical="center"/>
      <protection locked="0"/>
    </xf>
    <xf numFmtId="0" fontId="87" fillId="64" borderId="91" xfId="0" applyFont="1" applyFill="1" applyBorder="1" applyAlignment="1" applyProtection="1">
      <alignment horizontal="center" vertical="center"/>
      <protection locked="0"/>
    </xf>
    <xf numFmtId="0" fontId="24" fillId="63" borderId="0" xfId="0" applyFont="1" applyFill="1" applyAlignment="1" applyProtection="1">
      <alignment vertical="center"/>
      <protection locked="0"/>
    </xf>
    <xf numFmtId="165" fontId="92" fillId="25" borderId="16" xfId="0" applyNumberFormat="1" applyFont="1" applyFill="1" applyBorder="1" applyAlignment="1" applyProtection="1">
      <alignment horizontal="right" vertical="center"/>
      <protection locked="0"/>
    </xf>
    <xf numFmtId="0" fontId="86" fillId="63" borderId="71" xfId="0" applyFont="1" applyFill="1" applyBorder="1" applyAlignment="1" applyProtection="1">
      <alignment horizontal="center" vertical="center" wrapText="1"/>
      <protection locked="0"/>
    </xf>
    <xf numFmtId="14" fontId="3" fillId="63" borderId="91" xfId="0" applyNumberFormat="1" applyFont="1" applyFill="1" applyBorder="1" applyAlignment="1" applyProtection="1">
      <alignment horizontal="center" vertical="center" wrapText="1"/>
      <protection locked="0"/>
    </xf>
    <xf numFmtId="0" fontId="3" fillId="63" borderId="91" xfId="0" applyFont="1" applyFill="1" applyBorder="1" applyAlignment="1" applyProtection="1">
      <alignment horizontal="center" vertical="center"/>
      <protection locked="0"/>
    </xf>
    <xf numFmtId="0" fontId="69" fillId="25" borderId="83" xfId="0" applyFont="1" applyFill="1" applyBorder="1" applyAlignment="1" applyProtection="1">
      <alignment horizontal="right" vertical="center"/>
      <protection locked="0"/>
    </xf>
    <xf numFmtId="0" fontId="95" fillId="63" borderId="87" xfId="0" applyFont="1" applyFill="1" applyBorder="1" applyAlignment="1" applyProtection="1">
      <alignment horizontal="center" vertical="center" wrapText="1"/>
      <protection locked="0"/>
    </xf>
    <xf numFmtId="0" fontId="67" fillId="25" borderId="60" xfId="0" applyFont="1" applyFill="1" applyBorder="1" applyAlignment="1" applyProtection="1">
      <alignment horizontal="center" vertical="center" wrapText="1"/>
      <protection locked="0"/>
    </xf>
    <xf numFmtId="0" fontId="3" fillId="63" borderId="92" xfId="0" applyFont="1" applyFill="1" applyBorder="1" applyAlignment="1" applyProtection="1">
      <alignment horizontal="center" vertical="center" wrapText="1"/>
      <protection locked="0"/>
    </xf>
    <xf numFmtId="0" fontId="86" fillId="63" borderId="92" xfId="0" applyFont="1" applyFill="1" applyBorder="1" applyAlignment="1" applyProtection="1">
      <alignment horizontal="center" vertical="center" wrapText="1"/>
      <protection locked="0"/>
    </xf>
    <xf numFmtId="14" fontId="23" fillId="63" borderId="71" xfId="0" applyNumberFormat="1" applyFont="1" applyFill="1" applyBorder="1" applyAlignment="1" applyProtection="1">
      <alignment horizontal="center" vertical="center" wrapText="1"/>
      <protection locked="0"/>
    </xf>
    <xf numFmtId="0" fontId="84" fillId="63" borderId="93" xfId="0" applyFont="1" applyFill="1" applyBorder="1" applyAlignment="1" applyProtection="1">
      <alignment horizontal="left" vertical="center" wrapText="1"/>
      <protection locked="0"/>
    </xf>
    <xf numFmtId="0" fontId="76" fillId="63" borderId="94" xfId="0" applyFont="1" applyFill="1" applyBorder="1" applyAlignment="1" applyProtection="1">
      <alignment horizontal="center" vertical="center" wrapText="1"/>
      <protection locked="0"/>
    </xf>
    <xf numFmtId="0" fontId="90" fillId="63" borderId="87" xfId="0" applyFont="1" applyFill="1" applyBorder="1" applyAlignment="1" applyProtection="1">
      <alignment horizontal="left" vertical="center" wrapText="1"/>
      <protection locked="0"/>
    </xf>
    <xf numFmtId="1" fontId="67" fillId="25" borderId="83" xfId="0" applyNumberFormat="1" applyFont="1" applyFill="1" applyBorder="1" applyAlignment="1" applyProtection="1">
      <alignment horizontal="center" vertical="center"/>
      <protection locked="0"/>
    </xf>
    <xf numFmtId="0" fontId="68" fillId="25" borderId="83" xfId="0" applyFont="1" applyFill="1" applyBorder="1" applyAlignment="1" applyProtection="1">
      <alignment vertical="center" wrapText="1"/>
      <protection locked="0"/>
    </xf>
    <xf numFmtId="2" fontId="61" fillId="25" borderId="83" xfId="0" applyNumberFormat="1" applyFont="1" applyFill="1" applyBorder="1" applyAlignment="1" applyProtection="1">
      <alignment horizontal="center" vertical="center" wrapText="1"/>
      <protection locked="0"/>
    </xf>
    <xf numFmtId="2" fontId="61" fillId="25" borderId="84" xfId="0" applyNumberFormat="1" applyFont="1" applyFill="1" applyBorder="1" applyAlignment="1" applyProtection="1">
      <alignment horizontal="center" vertical="center" wrapText="1"/>
      <protection locked="0"/>
    </xf>
    <xf numFmtId="14" fontId="3" fillId="63" borderId="90" xfId="0" applyNumberFormat="1" applyFont="1" applyFill="1" applyBorder="1" applyAlignment="1" applyProtection="1">
      <alignment horizontal="center" vertical="center" wrapText="1"/>
      <protection locked="0"/>
    </xf>
    <xf numFmtId="14" fontId="3" fillId="63" borderId="74" xfId="0" applyNumberFormat="1" applyFont="1" applyFill="1" applyBorder="1" applyAlignment="1" applyProtection="1">
      <alignment horizontal="center" vertical="center" wrapText="1"/>
      <protection locked="0"/>
    </xf>
    <xf numFmtId="2" fontId="87" fillId="25" borderId="56" xfId="0" applyNumberFormat="1" applyFont="1" applyFill="1" applyBorder="1" applyAlignment="1" applyProtection="1">
      <alignment horizontal="center" vertical="center"/>
      <protection locked="0"/>
    </xf>
    <xf numFmtId="0" fontId="23" fillId="63" borderId="96" xfId="0" applyFont="1" applyFill="1" applyBorder="1" applyAlignment="1" applyProtection="1">
      <alignment horizontal="center" vertical="center" wrapText="1"/>
      <protection locked="0"/>
    </xf>
    <xf numFmtId="0" fontId="87" fillId="64" borderId="98" xfId="0" applyFont="1" applyFill="1" applyBorder="1" applyAlignment="1" applyProtection="1">
      <alignment horizontal="center" vertical="center"/>
      <protection locked="0"/>
    </xf>
    <xf numFmtId="0" fontId="87" fillId="64" borderId="97" xfId="0" applyFont="1" applyFill="1" applyBorder="1" applyAlignment="1" applyProtection="1">
      <alignment horizontal="center" vertical="center"/>
      <protection locked="0"/>
    </xf>
    <xf numFmtId="0" fontId="3" fillId="63" borderId="85" xfId="0" applyFont="1" applyFill="1" applyBorder="1" applyAlignment="1" applyProtection="1">
      <alignment horizontal="center" vertical="center" wrapText="1"/>
      <protection locked="0"/>
    </xf>
    <xf numFmtId="0" fontId="87" fillId="28" borderId="87" xfId="0" applyFont="1" applyFill="1" applyBorder="1" applyAlignment="1" applyProtection="1">
      <alignment horizontal="center" vertical="center"/>
      <protection locked="0"/>
    </xf>
    <xf numFmtId="0" fontId="83" fillId="63" borderId="86" xfId="0" applyFont="1" applyFill="1" applyBorder="1" applyAlignment="1" applyProtection="1">
      <alignment horizontal="left" vertical="center" wrapText="1"/>
      <protection locked="0"/>
    </xf>
    <xf numFmtId="0" fontId="94" fillId="63" borderId="87" xfId="0" applyFont="1" applyFill="1" applyBorder="1" applyAlignment="1" applyProtection="1">
      <alignment horizontal="center" vertical="center" wrapText="1"/>
      <protection locked="0"/>
    </xf>
    <xf numFmtId="0" fontId="87" fillId="64" borderId="93" xfId="0" applyFont="1" applyFill="1" applyBorder="1" applyAlignment="1" applyProtection="1">
      <alignment horizontal="center" vertical="center"/>
      <protection locked="0"/>
    </xf>
    <xf numFmtId="0" fontId="87" fillId="64" borderId="99" xfId="0" applyFont="1" applyFill="1" applyBorder="1" applyAlignment="1" applyProtection="1">
      <alignment horizontal="center" vertical="center"/>
      <protection locked="0"/>
    </xf>
    <xf numFmtId="0" fontId="86" fillId="63" borderId="94" xfId="0" applyFont="1" applyFill="1" applyBorder="1" applyAlignment="1" applyProtection="1">
      <alignment horizontal="center" vertical="center" wrapText="1"/>
      <protection locked="0"/>
    </xf>
    <xf numFmtId="0" fontId="3" fillId="63" borderId="96" xfId="0" applyFont="1" applyFill="1" applyBorder="1" applyAlignment="1" applyProtection="1">
      <alignment horizontal="center" vertical="center" wrapText="1"/>
      <protection locked="0"/>
    </xf>
    <xf numFmtId="0" fontId="88" fillId="25" borderId="60" xfId="0" applyFont="1" applyFill="1" applyBorder="1" applyAlignment="1" applyProtection="1">
      <alignment horizontal="center" vertical="center" wrapText="1"/>
      <protection locked="0"/>
    </xf>
    <xf numFmtId="0" fontId="88" fillId="25" borderId="60" xfId="0" applyFont="1" applyFill="1" applyBorder="1" applyAlignment="1" applyProtection="1">
      <alignment horizontal="center" vertical="center"/>
      <protection locked="0"/>
    </xf>
    <xf numFmtId="0" fontId="89" fillId="25" borderId="60" xfId="0" applyFont="1" applyFill="1" applyBorder="1" applyAlignment="1" applyProtection="1">
      <alignment vertical="center" wrapText="1"/>
      <protection locked="0"/>
    </xf>
    <xf numFmtId="0" fontId="92" fillId="25" borderId="60" xfId="0" applyFont="1" applyFill="1" applyBorder="1" applyAlignment="1" applyProtection="1">
      <alignment horizontal="right" vertical="center"/>
      <protection locked="0"/>
    </xf>
    <xf numFmtId="0" fontId="3" fillId="63" borderId="90" xfId="0" applyFont="1" applyFill="1" applyBorder="1" applyAlignment="1" applyProtection="1">
      <alignment horizontal="center" vertical="center"/>
      <protection locked="0"/>
    </xf>
    <xf numFmtId="0" fontId="23" fillId="63" borderId="91" xfId="0" applyFont="1" applyFill="1" applyBorder="1" applyAlignment="1" applyProtection="1">
      <alignment horizontal="center" vertical="center" wrapText="1"/>
      <protection locked="0"/>
    </xf>
    <xf numFmtId="14" fontId="23" fillId="63" borderId="100" xfId="0" applyNumberFormat="1" applyFont="1" applyFill="1" applyBorder="1" applyAlignment="1" applyProtection="1">
      <alignment horizontal="center" vertical="center" wrapText="1"/>
      <protection locked="0"/>
    </xf>
    <xf numFmtId="0" fontId="23" fillId="63" borderId="100" xfId="0" applyFont="1" applyFill="1" applyBorder="1" applyAlignment="1" applyProtection="1">
      <alignment horizontal="center" vertical="center" wrapText="1"/>
      <protection locked="0"/>
    </xf>
    <xf numFmtId="0" fontId="3" fillId="63" borderId="100" xfId="0" applyFont="1" applyFill="1" applyBorder="1" applyAlignment="1" applyProtection="1">
      <alignment horizontal="center" vertical="center" wrapText="1"/>
      <protection locked="0"/>
    </xf>
    <xf numFmtId="0" fontId="23" fillId="63" borderId="101" xfId="0" applyFont="1" applyFill="1" applyBorder="1" applyAlignment="1" applyProtection="1">
      <alignment horizontal="center" vertical="center" wrapText="1"/>
      <protection locked="0"/>
    </xf>
    <xf numFmtId="0" fontId="23" fillId="63" borderId="74" xfId="0" applyFont="1" applyFill="1" applyBorder="1" applyAlignment="1" applyProtection="1">
      <alignment horizontal="center" vertical="center" wrapText="1"/>
      <protection locked="0"/>
    </xf>
    <xf numFmtId="14" fontId="23" fillId="63" borderId="74" xfId="0" applyNumberFormat="1" applyFont="1" applyFill="1" applyBorder="1" applyAlignment="1" applyProtection="1">
      <alignment horizontal="center" vertical="center" wrapText="1"/>
      <protection locked="0"/>
    </xf>
    <xf numFmtId="0" fontId="23" fillId="63" borderId="102" xfId="0" applyFont="1" applyFill="1" applyBorder="1" applyAlignment="1" applyProtection="1">
      <alignment horizontal="center" vertical="center" wrapText="1"/>
      <protection locked="0"/>
    </xf>
    <xf numFmtId="1" fontId="87" fillId="64" borderId="86" xfId="0" applyNumberFormat="1" applyFont="1" applyFill="1" applyBorder="1" applyAlignment="1" applyProtection="1">
      <alignment horizontal="center" vertical="center"/>
      <protection locked="0"/>
    </xf>
    <xf numFmtId="0" fontId="3" fillId="63" borderId="104" xfId="0" applyFont="1" applyFill="1" applyBorder="1" applyAlignment="1" applyProtection="1">
      <alignment horizontal="center" vertical="center" wrapText="1"/>
      <protection locked="0"/>
    </xf>
    <xf numFmtId="14" fontId="3" fillId="63" borderId="105" xfId="0" applyNumberFormat="1" applyFont="1" applyFill="1" applyBorder="1" applyAlignment="1" applyProtection="1">
      <alignment horizontal="center" vertical="center" wrapText="1"/>
      <protection locked="0"/>
    </xf>
    <xf numFmtId="0" fontId="3" fillId="63" borderId="105" xfId="0" applyFont="1" applyFill="1" applyBorder="1" applyAlignment="1" applyProtection="1">
      <alignment horizontal="center" vertical="center" wrapText="1"/>
      <protection locked="0"/>
    </xf>
    <xf numFmtId="0" fontId="83" fillId="63" borderId="87" xfId="0" applyFont="1" applyFill="1" applyBorder="1" applyAlignment="1" applyProtection="1">
      <alignment horizontal="left" vertical="top" wrapText="1"/>
      <protection locked="0"/>
    </xf>
    <xf numFmtId="2" fontId="61" fillId="25" borderId="106" xfId="0" applyNumberFormat="1" applyFont="1" applyFill="1" applyBorder="1" applyAlignment="1" applyProtection="1">
      <alignment horizontal="center" vertical="center"/>
      <protection locked="0"/>
    </xf>
    <xf numFmtId="0" fontId="84" fillId="63" borderId="87" xfId="0" applyFont="1" applyFill="1" applyBorder="1" applyAlignment="1" applyProtection="1">
      <alignment horizontal="left" vertical="center" wrapText="1"/>
      <protection locked="0"/>
    </xf>
    <xf numFmtId="0" fontId="3" fillId="63" borderId="102" xfId="0" applyFont="1" applyFill="1" applyBorder="1" applyAlignment="1" applyProtection="1">
      <alignment horizontal="center" vertical="center" wrapText="1"/>
      <protection locked="0"/>
    </xf>
    <xf numFmtId="0" fontId="3" fillId="63" borderId="73" xfId="0" applyFont="1" applyFill="1" applyBorder="1" applyAlignment="1" applyProtection="1">
      <alignment horizontal="center" vertical="center" wrapText="1"/>
      <protection locked="0"/>
    </xf>
    <xf numFmtId="0" fontId="3" fillId="63" borderId="107" xfId="0" applyFont="1" applyFill="1" applyBorder="1" applyAlignment="1" applyProtection="1">
      <alignment horizontal="center" vertical="center" wrapText="1"/>
      <protection locked="0"/>
    </xf>
    <xf numFmtId="0" fontId="3" fillId="63" borderId="108" xfId="0" applyFont="1" applyFill="1" applyBorder="1" applyAlignment="1" applyProtection="1">
      <alignment horizontal="center" vertical="center" wrapText="1"/>
      <protection locked="0"/>
    </xf>
    <xf numFmtId="0" fontId="93" fillId="25" borderId="55" xfId="0" applyFont="1" applyFill="1" applyBorder="1" applyAlignment="1" applyProtection="1">
      <alignment horizontal="center" vertical="center" wrapText="1"/>
      <protection locked="0"/>
    </xf>
    <xf numFmtId="0" fontId="88" fillId="25" borderId="89" xfId="0" applyFont="1" applyFill="1" applyBorder="1" applyAlignment="1" applyProtection="1">
      <alignment horizontal="center" vertical="center" wrapText="1"/>
      <protection locked="0"/>
    </xf>
    <xf numFmtId="0" fontId="67" fillId="25" borderId="89" xfId="0" applyFont="1" applyFill="1" applyBorder="1" applyAlignment="1" applyProtection="1">
      <alignment horizontal="center" vertical="center"/>
      <protection locked="0"/>
    </xf>
    <xf numFmtId="0" fontId="69" fillId="25" borderId="89" xfId="0" applyFont="1" applyFill="1" applyBorder="1" applyAlignment="1" applyProtection="1">
      <alignment horizontal="right" vertical="center"/>
      <protection locked="0"/>
    </xf>
    <xf numFmtId="2" fontId="61" fillId="25" borderId="110" xfId="0" applyNumberFormat="1" applyFont="1" applyFill="1" applyBorder="1" applyAlignment="1" applyProtection="1">
      <alignment horizontal="center" vertical="center"/>
      <protection locked="0"/>
    </xf>
    <xf numFmtId="0" fontId="76" fillId="63" borderId="71" xfId="0" applyFont="1" applyFill="1" applyBorder="1" applyAlignment="1" applyProtection="1">
      <alignment horizontal="center" vertical="center" wrapText="1"/>
      <protection locked="0"/>
    </xf>
    <xf numFmtId="0" fontId="67" fillId="25" borderId="71" xfId="0" applyFont="1" applyFill="1" applyBorder="1" applyAlignment="1" applyProtection="1">
      <alignment horizontal="center" vertical="center" wrapText="1"/>
      <protection locked="0"/>
    </xf>
    <xf numFmtId="0" fontId="86" fillId="63" borderId="112" xfId="0" applyFont="1" applyFill="1" applyBorder="1" applyAlignment="1" applyProtection="1">
      <alignment horizontal="center" vertical="center" wrapText="1"/>
      <protection locked="0"/>
    </xf>
    <xf numFmtId="0" fontId="67" fillId="25" borderId="113" xfId="0" applyFont="1" applyFill="1" applyBorder="1" applyAlignment="1" applyProtection="1">
      <alignment horizontal="center" vertical="center" wrapText="1"/>
      <protection locked="0"/>
    </xf>
    <xf numFmtId="0" fontId="3" fillId="63" borderId="114" xfId="0" applyFont="1" applyFill="1" applyBorder="1" applyAlignment="1" applyProtection="1">
      <alignment horizontal="center" vertical="center" wrapText="1"/>
      <protection locked="0"/>
    </xf>
    <xf numFmtId="0" fontId="3" fillId="63" borderId="112" xfId="0" applyFont="1" applyFill="1" applyBorder="1" applyAlignment="1" applyProtection="1">
      <alignment horizontal="center" vertical="center" wrapText="1"/>
      <protection locked="0"/>
    </xf>
    <xf numFmtId="0" fontId="3" fillId="63" borderId="111" xfId="0" applyFont="1" applyFill="1" applyBorder="1" applyAlignment="1" applyProtection="1">
      <alignment horizontal="center" vertical="center" wrapText="1"/>
      <protection locked="0"/>
    </xf>
    <xf numFmtId="0" fontId="67" fillId="25" borderId="17" xfId="0" applyFont="1" applyFill="1" applyBorder="1" applyAlignment="1" applyProtection="1">
      <alignment horizontal="center" vertical="center" wrapText="1"/>
      <protection locked="0"/>
    </xf>
    <xf numFmtId="164" fontId="3" fillId="63" borderId="115" xfId="0" applyNumberFormat="1" applyFont="1" applyFill="1" applyBorder="1" applyAlignment="1" applyProtection="1">
      <alignment horizontal="center" vertical="center"/>
      <protection locked="0"/>
    </xf>
    <xf numFmtId="0" fontId="76" fillId="63" borderId="112" xfId="0" applyFont="1" applyFill="1" applyBorder="1" applyAlignment="1" applyProtection="1">
      <alignment horizontal="center" vertical="center" wrapText="1"/>
      <protection locked="0"/>
    </xf>
    <xf numFmtId="0" fontId="62" fillId="25" borderId="95" xfId="0" applyFont="1" applyFill="1" applyBorder="1" applyAlignment="1" applyProtection="1">
      <alignment horizontal="center" vertical="center" wrapText="1"/>
      <protection locked="0"/>
    </xf>
    <xf numFmtId="0" fontId="62" fillId="25" borderId="116" xfId="0" applyFont="1" applyFill="1" applyBorder="1" applyAlignment="1" applyProtection="1">
      <alignment horizontal="center" vertical="center" wrapText="1"/>
      <protection locked="0"/>
    </xf>
    <xf numFmtId="0" fontId="68" fillId="25" borderId="18" xfId="0" applyFont="1" applyFill="1" applyBorder="1" applyAlignment="1" applyProtection="1">
      <alignment vertical="center" wrapText="1"/>
      <protection locked="0"/>
    </xf>
    <xf numFmtId="0" fontId="69" fillId="25" borderId="18" xfId="0" applyFont="1" applyFill="1" applyBorder="1" applyAlignment="1" applyProtection="1">
      <alignment horizontal="right" vertical="center"/>
      <protection locked="0"/>
    </xf>
    <xf numFmtId="0" fontId="61" fillId="64" borderId="73" xfId="0" applyFont="1" applyFill="1" applyBorder="1" applyAlignment="1" applyProtection="1">
      <alignment horizontal="center" vertical="center"/>
      <protection locked="0"/>
    </xf>
    <xf numFmtId="0" fontId="61" fillId="64" borderId="73" xfId="144" applyNumberFormat="1" applyFont="1" applyFill="1" applyBorder="1" applyAlignment="1" applyProtection="1">
      <alignment horizontal="center" vertical="center"/>
      <protection locked="0"/>
    </xf>
    <xf numFmtId="0" fontId="84" fillId="63" borderId="103" xfId="0" applyFont="1" applyFill="1" applyBorder="1" applyAlignment="1">
      <alignment vertical="center" wrapText="1"/>
    </xf>
    <xf numFmtId="2" fontId="87" fillId="25" borderId="110" xfId="0" applyNumberFormat="1" applyFont="1" applyFill="1" applyBorder="1" applyAlignment="1" applyProtection="1">
      <alignment horizontal="center" vertical="center"/>
      <protection locked="0"/>
    </xf>
    <xf numFmtId="2" fontId="61" fillId="25" borderId="84" xfId="0" applyNumberFormat="1" applyFont="1" applyFill="1" applyBorder="1" applyAlignment="1" applyProtection="1">
      <alignment horizontal="center" vertical="center"/>
      <protection locked="0"/>
    </xf>
    <xf numFmtId="0" fontId="3" fillId="63" borderId="93" xfId="0" applyFont="1" applyFill="1" applyBorder="1" applyAlignment="1" applyProtection="1">
      <alignment horizontal="center" vertical="center" wrapText="1"/>
      <protection locked="0"/>
    </xf>
    <xf numFmtId="2" fontId="61" fillId="25" borderId="119" xfId="0" applyNumberFormat="1" applyFont="1" applyFill="1" applyBorder="1" applyAlignment="1" applyProtection="1">
      <alignment horizontal="center" vertical="center"/>
      <protection locked="0"/>
    </xf>
    <xf numFmtId="0" fontId="87" fillId="64" borderId="74" xfId="0" applyFont="1" applyFill="1" applyBorder="1" applyAlignment="1" applyProtection="1">
      <alignment horizontal="center" vertical="center"/>
      <protection locked="0"/>
    </xf>
    <xf numFmtId="0" fontId="3" fillId="63" borderId="120" xfId="0" applyFont="1" applyFill="1" applyBorder="1" applyAlignment="1" applyProtection="1">
      <alignment horizontal="center" vertical="center" wrapText="1"/>
      <protection locked="0"/>
    </xf>
    <xf numFmtId="0" fontId="32" fillId="0" borderId="123" xfId="0" applyFont="1" applyBorder="1" applyAlignment="1">
      <alignment horizontal="left" vertical="center"/>
    </xf>
    <xf numFmtId="0" fontId="33" fillId="0" borderId="123" xfId="0" applyFont="1" applyBorder="1" applyAlignment="1">
      <alignment horizontal="left" vertical="center"/>
    </xf>
    <xf numFmtId="0" fontId="32" fillId="0" borderId="125" xfId="0" applyFont="1" applyBorder="1" applyAlignment="1">
      <alignment horizontal="left" vertical="center" shrinkToFit="1"/>
    </xf>
    <xf numFmtId="0" fontId="32" fillId="0" borderId="125" xfId="0" applyFont="1" applyBorder="1" applyAlignment="1">
      <alignment horizontal="center" vertical="center"/>
    </xf>
    <xf numFmtId="0" fontId="32" fillId="29" borderId="126" xfId="0" applyFont="1" applyFill="1" applyBorder="1" applyAlignment="1">
      <alignment horizontal="left" vertical="center" shrinkToFit="1"/>
    </xf>
    <xf numFmtId="0" fontId="32" fillId="29" borderId="123" xfId="0" applyFont="1" applyFill="1" applyBorder="1" applyAlignment="1">
      <alignment horizontal="left" vertical="center" shrinkToFit="1"/>
    </xf>
    <xf numFmtId="0" fontId="32" fillId="29" borderId="125" xfId="0" applyFont="1" applyFill="1" applyBorder="1" applyAlignment="1">
      <alignment horizontal="left" vertical="center" shrinkToFit="1"/>
    </xf>
    <xf numFmtId="0" fontId="32" fillId="29" borderId="123" xfId="0" applyFont="1" applyFill="1" applyBorder="1" applyAlignment="1">
      <alignment horizontal="left" vertical="center"/>
    </xf>
    <xf numFmtId="0" fontId="32" fillId="29" borderId="123" xfId="0" applyFont="1" applyFill="1" applyBorder="1" applyAlignment="1">
      <alignment horizontal="left" vertical="center" wrapText="1"/>
    </xf>
    <xf numFmtId="0" fontId="32" fillId="29" borderId="125" xfId="0" applyFont="1" applyFill="1" applyBorder="1" applyAlignment="1">
      <alignment horizontal="left" vertical="center" wrapText="1"/>
    </xf>
    <xf numFmtId="0" fontId="32" fillId="0" borderId="123" xfId="0" applyFont="1" applyBorder="1" applyAlignment="1">
      <alignment horizontal="left" vertical="center" shrinkToFit="1"/>
    </xf>
    <xf numFmtId="0" fontId="0" fillId="29" borderId="123" xfId="0" applyFill="1" applyBorder="1" applyAlignment="1">
      <alignment horizontal="center"/>
    </xf>
    <xf numFmtId="0" fontId="0" fillId="0" borderId="123" xfId="0" applyBorder="1" applyAlignment="1">
      <alignment horizontal="center"/>
    </xf>
    <xf numFmtId="0" fontId="3" fillId="63" borderId="123" xfId="0" applyFont="1" applyFill="1" applyBorder="1" applyAlignment="1" applyProtection="1">
      <alignment horizontal="center" vertical="center" wrapText="1"/>
      <protection locked="0"/>
    </xf>
    <xf numFmtId="0" fontId="32" fillId="0" borderId="130" xfId="0" applyFont="1" applyBorder="1" applyAlignment="1">
      <alignment horizontal="left" vertical="center"/>
    </xf>
    <xf numFmtId="0" fontId="32" fillId="0" borderId="122" xfId="0" applyFont="1" applyBorder="1" applyAlignment="1">
      <alignment horizontal="left" vertical="center"/>
    </xf>
    <xf numFmtId="0" fontId="32" fillId="0" borderId="130" xfId="0" applyFont="1" applyBorder="1" applyAlignment="1">
      <alignment horizontal="center" vertical="center"/>
    </xf>
    <xf numFmtId="0" fontId="32" fillId="0" borderId="130" xfId="0" applyFont="1" applyBorder="1" applyAlignment="1">
      <alignment horizontal="left" vertical="center" shrinkToFit="1"/>
    </xf>
    <xf numFmtId="0" fontId="32" fillId="29" borderId="130" xfId="0" applyFont="1" applyFill="1" applyBorder="1" applyAlignment="1">
      <alignment horizontal="left" vertical="center" shrinkToFit="1"/>
    </xf>
    <xf numFmtId="0" fontId="32" fillId="29" borderId="129" xfId="0" applyFont="1" applyFill="1" applyBorder="1" applyAlignment="1">
      <alignment horizontal="left" vertical="center"/>
    </xf>
    <xf numFmtId="0" fontId="32" fillId="29" borderId="130" xfId="0" applyFont="1" applyFill="1" applyBorder="1" applyAlignment="1">
      <alignment horizontal="left" vertical="center" wrapText="1"/>
    </xf>
    <xf numFmtId="1" fontId="32" fillId="29" borderId="128" xfId="0" applyNumberFormat="1" applyFont="1" applyFill="1" applyBorder="1" applyAlignment="1">
      <alignment horizontal="center" vertical="center" wrapText="1"/>
    </xf>
    <xf numFmtId="0" fontId="32" fillId="0" borderId="130" xfId="0" applyFont="1" applyBorder="1" applyAlignment="1">
      <alignment horizontal="center" vertical="center" shrinkToFit="1"/>
    </xf>
    <xf numFmtId="0" fontId="0" fillId="0" borderId="129" xfId="0" applyBorder="1" applyAlignment="1">
      <alignment horizontal="center"/>
    </xf>
    <xf numFmtId="0" fontId="3" fillId="63" borderId="127" xfId="0" applyFont="1" applyFill="1" applyBorder="1" applyAlignment="1" applyProtection="1">
      <alignment horizontal="center" vertical="center" wrapText="1"/>
      <protection locked="0"/>
    </xf>
    <xf numFmtId="14" fontId="0" fillId="0" borderId="0" xfId="0" applyNumberFormat="1"/>
    <xf numFmtId="0" fontId="69" fillId="25" borderId="89" xfId="0" applyFont="1" applyFill="1" applyBorder="1" applyAlignment="1" applyProtection="1">
      <alignment horizontal="right" vertical="center" wrapText="1"/>
      <protection locked="0"/>
    </xf>
    <xf numFmtId="2" fontId="61" fillId="25" borderId="134" xfId="0" applyNumberFormat="1" applyFont="1" applyFill="1" applyBorder="1" applyAlignment="1" applyProtection="1">
      <alignment horizontal="center" vertical="center"/>
      <protection locked="0"/>
    </xf>
    <xf numFmtId="0" fontId="3" fillId="70" borderId="74" xfId="0" applyFont="1" applyFill="1" applyBorder="1" applyAlignment="1" applyProtection="1">
      <alignment horizontal="center" vertical="center" wrapText="1"/>
      <protection locked="0"/>
    </xf>
    <xf numFmtId="0" fontId="76" fillId="63" borderId="117" xfId="0" applyFont="1" applyFill="1" applyBorder="1" applyAlignment="1" applyProtection="1">
      <alignment horizontal="center" vertical="center" wrapText="1"/>
      <protection locked="0"/>
    </xf>
    <xf numFmtId="0" fontId="88" fillId="25" borderId="59" xfId="0" applyFont="1" applyFill="1" applyBorder="1" applyAlignment="1" applyProtection="1">
      <alignment horizontal="center" vertical="center"/>
      <protection locked="0"/>
    </xf>
    <xf numFmtId="0" fontId="88" fillId="25" borderId="27" xfId="0" applyFont="1" applyFill="1" applyBorder="1" applyAlignment="1" applyProtection="1">
      <alignment horizontal="center" vertical="center"/>
      <protection locked="0"/>
    </xf>
    <xf numFmtId="0" fontId="88" fillId="25" borderId="20" xfId="0" applyFont="1" applyFill="1" applyBorder="1" applyAlignment="1" applyProtection="1">
      <alignment horizontal="center" vertical="center" wrapText="1"/>
      <protection locked="0"/>
    </xf>
    <xf numFmtId="0" fontId="68" fillId="25" borderId="60" xfId="0" applyFont="1" applyFill="1" applyBorder="1" applyAlignment="1" applyProtection="1">
      <alignment vertical="center" wrapText="1"/>
      <protection locked="0"/>
    </xf>
    <xf numFmtId="165" fontId="69" fillId="25" borderId="60" xfId="0" applyNumberFormat="1" applyFont="1" applyFill="1" applyBorder="1" applyAlignment="1" applyProtection="1">
      <alignment horizontal="right" vertical="center"/>
      <protection locked="0"/>
    </xf>
    <xf numFmtId="2" fontId="61" fillId="25" borderId="56" xfId="0" applyNumberFormat="1" applyFont="1" applyFill="1" applyBorder="1" applyAlignment="1" applyProtection="1">
      <alignment horizontal="center" vertical="center"/>
      <protection locked="0"/>
    </xf>
    <xf numFmtId="0" fontId="62" fillId="25" borderId="44" xfId="0" applyFont="1" applyFill="1" applyBorder="1" applyAlignment="1" applyProtection="1">
      <alignment horizontal="center" vertical="center" wrapText="1"/>
      <protection locked="0"/>
    </xf>
    <xf numFmtId="0" fontId="67" fillId="25" borderId="60" xfId="0" applyFont="1" applyFill="1" applyBorder="1" applyAlignment="1" applyProtection="1">
      <alignment horizontal="center" vertical="center"/>
      <protection locked="0"/>
    </xf>
    <xf numFmtId="1" fontId="67" fillId="25" borderId="60" xfId="0" applyNumberFormat="1" applyFont="1" applyFill="1" applyBorder="1" applyAlignment="1" applyProtection="1">
      <alignment horizontal="center" vertical="center"/>
      <protection locked="0"/>
    </xf>
    <xf numFmtId="0" fontId="68" fillId="25" borderId="60" xfId="0" applyFont="1" applyFill="1" applyBorder="1" applyAlignment="1" applyProtection="1">
      <alignment vertical="center"/>
      <protection locked="0"/>
    </xf>
    <xf numFmtId="0" fontId="3" fillId="71" borderId="102" xfId="0" applyFont="1" applyFill="1" applyBorder="1" applyAlignment="1" applyProtection="1">
      <alignment horizontal="center" vertical="center" wrapText="1"/>
      <protection locked="0"/>
    </xf>
    <xf numFmtId="0" fontId="61" fillId="63" borderId="74" xfId="0" applyFont="1" applyFill="1" applyBorder="1" applyAlignment="1" applyProtection="1">
      <alignment horizontal="left" vertical="center" wrapText="1"/>
      <protection locked="0"/>
    </xf>
    <xf numFmtId="0" fontId="96" fillId="63" borderId="71" xfId="0" applyFont="1" applyFill="1" applyBorder="1" applyAlignment="1">
      <alignment horizontal="left" vertical="center" wrapText="1"/>
    </xf>
    <xf numFmtId="0" fontId="23" fillId="63" borderId="131" xfId="0" applyFont="1" applyFill="1" applyBorder="1" applyAlignment="1" applyProtection="1">
      <alignment horizontal="center" vertical="center" wrapText="1"/>
      <protection locked="0"/>
    </xf>
    <xf numFmtId="2" fontId="87" fillId="25" borderId="135" xfId="0" applyNumberFormat="1" applyFont="1" applyFill="1" applyBorder="1" applyAlignment="1" applyProtection="1">
      <alignment horizontal="center" vertical="center"/>
      <protection locked="0"/>
    </xf>
    <xf numFmtId="0" fontId="87" fillId="64" borderId="85" xfId="0" applyFont="1" applyFill="1" applyBorder="1" applyAlignment="1" applyProtection="1">
      <alignment horizontal="center" vertical="center"/>
      <protection locked="0"/>
    </xf>
    <xf numFmtId="0" fontId="62" fillId="25" borderId="133" xfId="0" applyFont="1" applyFill="1" applyBorder="1" applyAlignment="1" applyProtection="1">
      <alignment horizontal="center" vertical="center" wrapText="1"/>
      <protection locked="0"/>
    </xf>
    <xf numFmtId="1" fontId="61" fillId="64" borderId="71" xfId="0" applyNumberFormat="1" applyFont="1" applyFill="1" applyBorder="1" applyAlignment="1" applyProtection="1">
      <alignment horizontal="center" vertical="center"/>
      <protection locked="0"/>
    </xf>
    <xf numFmtId="0" fontId="3" fillId="63" borderId="73" xfId="0" applyFont="1" applyFill="1" applyBorder="1" applyAlignment="1" applyProtection="1">
      <alignment horizontal="center" vertical="center"/>
      <protection locked="0"/>
    </xf>
    <xf numFmtId="0" fontId="87" fillId="64" borderId="74" xfId="144" applyNumberFormat="1" applyFont="1" applyFill="1" applyBorder="1" applyAlignment="1" applyProtection="1">
      <alignment horizontal="center" vertical="center"/>
      <protection locked="0"/>
    </xf>
    <xf numFmtId="0" fontId="93" fillId="25" borderId="57" xfId="0" applyFont="1" applyFill="1" applyBorder="1" applyAlignment="1" applyProtection="1">
      <alignment horizontal="center" vertical="center" wrapText="1"/>
      <protection locked="0"/>
    </xf>
    <xf numFmtId="0" fontId="23" fillId="63" borderId="69" xfId="0" applyFont="1" applyFill="1" applyBorder="1" applyAlignment="1" applyProtection="1">
      <alignment horizontal="center" vertical="center" wrapText="1"/>
      <protection locked="0"/>
    </xf>
    <xf numFmtId="0" fontId="87" fillId="63" borderId="86" xfId="0" applyFont="1" applyFill="1" applyBorder="1" applyAlignment="1" applyProtection="1">
      <alignment horizontal="left" vertical="center" wrapText="1"/>
      <protection locked="0"/>
    </xf>
    <xf numFmtId="0" fontId="88" fillId="25" borderId="102" xfId="0" applyFont="1" applyFill="1" applyBorder="1" applyAlignment="1" applyProtection="1">
      <alignment horizontal="center" vertical="center" wrapText="1"/>
      <protection locked="0"/>
    </xf>
    <xf numFmtId="0" fontId="88" fillId="25" borderId="74" xfId="0" applyFont="1" applyFill="1" applyBorder="1" applyAlignment="1" applyProtection="1">
      <alignment horizontal="center" vertical="center" wrapText="1"/>
      <protection locked="0"/>
    </xf>
    <xf numFmtId="0" fontId="88" fillId="25" borderId="74" xfId="0" applyFont="1" applyFill="1" applyBorder="1" applyAlignment="1" applyProtection="1">
      <alignment horizontal="center" vertical="center"/>
      <protection locked="0"/>
    </xf>
    <xf numFmtId="0" fontId="89" fillId="25" borderId="74" xfId="0" applyFont="1" applyFill="1" applyBorder="1" applyAlignment="1" applyProtection="1">
      <alignment vertical="center"/>
      <protection locked="0"/>
    </xf>
    <xf numFmtId="0" fontId="67" fillId="25" borderId="72" xfId="0" applyFont="1" applyFill="1" applyBorder="1" applyAlignment="1" applyProtection="1">
      <alignment horizontal="center" vertical="center" wrapText="1"/>
      <protection locked="0"/>
    </xf>
    <xf numFmtId="0" fontId="86" fillId="63" borderId="87" xfId="0" applyFont="1" applyFill="1" applyBorder="1" applyAlignment="1" applyProtection="1">
      <alignment horizontal="center" vertical="center" wrapText="1"/>
      <protection locked="0"/>
    </xf>
    <xf numFmtId="0" fontId="23" fillId="63" borderId="87" xfId="0" applyFont="1" applyFill="1" applyBorder="1" applyAlignment="1" applyProtection="1">
      <alignment horizontal="left" vertical="center" wrapText="1"/>
      <protection locked="0"/>
    </xf>
    <xf numFmtId="0" fontId="24" fillId="29" borderId="0" xfId="0" applyFont="1" applyFill="1" applyAlignment="1" applyProtection="1">
      <alignment vertical="center"/>
      <protection locked="0"/>
    </xf>
    <xf numFmtId="0" fontId="87" fillId="29" borderId="0" xfId="144" applyNumberFormat="1" applyFont="1" applyFill="1" applyAlignment="1" applyProtection="1">
      <alignment horizontal="center" vertical="center"/>
      <protection locked="0"/>
    </xf>
    <xf numFmtId="0" fontId="87" fillId="64" borderId="112" xfId="0" applyFont="1" applyFill="1" applyBorder="1" applyAlignment="1" applyProtection="1">
      <alignment horizontal="center" vertical="center"/>
      <protection locked="0"/>
    </xf>
    <xf numFmtId="0" fontId="86" fillId="63" borderId="136" xfId="0" applyFont="1" applyFill="1" applyBorder="1" applyAlignment="1" applyProtection="1">
      <alignment horizontal="center" vertical="center" wrapText="1"/>
      <protection locked="0"/>
    </xf>
    <xf numFmtId="14" fontId="3" fillId="63" borderId="85" xfId="0" applyNumberFormat="1" applyFont="1" applyFill="1" applyBorder="1" applyAlignment="1" applyProtection="1">
      <alignment horizontal="center" vertical="center" wrapText="1"/>
      <protection locked="0"/>
    </xf>
    <xf numFmtId="164" fontId="3" fillId="63" borderId="102" xfId="0" applyNumberFormat="1" applyFont="1" applyFill="1" applyBorder="1" applyAlignment="1" applyProtection="1">
      <alignment horizontal="center" vertical="center"/>
      <protection locked="0"/>
    </xf>
    <xf numFmtId="0" fontId="87" fillId="28" borderId="86" xfId="0" applyFont="1" applyFill="1" applyBorder="1" applyAlignment="1" applyProtection="1">
      <alignment horizontal="center" vertical="center"/>
      <protection locked="0"/>
    </xf>
    <xf numFmtId="0" fontId="3" fillId="63" borderId="101" xfId="0" applyFont="1" applyFill="1" applyBorder="1" applyAlignment="1" applyProtection="1">
      <alignment horizontal="center" vertical="center" wrapText="1"/>
      <protection locked="0"/>
    </xf>
    <xf numFmtId="0" fontId="68" fillId="25" borderId="121" xfId="0" applyFont="1" applyFill="1" applyBorder="1" applyAlignment="1" applyProtection="1">
      <alignment vertical="center"/>
      <protection locked="0"/>
    </xf>
    <xf numFmtId="0" fontId="67" fillId="25" borderId="87" xfId="0" applyFont="1" applyFill="1" applyBorder="1" applyAlignment="1" applyProtection="1">
      <alignment horizontal="center" vertical="center" wrapText="1"/>
      <protection locked="0"/>
    </xf>
    <xf numFmtId="1" fontId="67" fillId="25" borderId="87" xfId="0" applyNumberFormat="1" applyFont="1" applyFill="1" applyBorder="1" applyAlignment="1" applyProtection="1">
      <alignment horizontal="center" vertical="center"/>
      <protection locked="0"/>
    </xf>
    <xf numFmtId="0" fontId="26" fillId="72" borderId="0" xfId="0" applyFont="1" applyFill="1" applyAlignment="1" applyProtection="1">
      <alignment vertical="center"/>
      <protection locked="0"/>
    </xf>
    <xf numFmtId="0" fontId="3" fillId="63" borderId="139" xfId="0" applyFont="1" applyFill="1" applyBorder="1" applyAlignment="1" applyProtection="1">
      <alignment horizontal="center" vertical="center" wrapText="1"/>
      <protection locked="0"/>
    </xf>
    <xf numFmtId="0" fontId="87" fillId="64" borderId="120" xfId="0" applyFont="1" applyFill="1" applyBorder="1" applyAlignment="1" applyProtection="1">
      <alignment horizontal="center" vertical="center"/>
      <protection locked="0"/>
    </xf>
    <xf numFmtId="0" fontId="3" fillId="63" borderId="138" xfId="0" applyFont="1" applyFill="1" applyBorder="1" applyAlignment="1" applyProtection="1">
      <alignment horizontal="center" vertical="center" wrapText="1"/>
      <protection locked="0"/>
    </xf>
    <xf numFmtId="14" fontId="3" fillId="63" borderId="138" xfId="0" applyNumberFormat="1" applyFont="1" applyFill="1" applyBorder="1" applyAlignment="1" applyProtection="1">
      <alignment horizontal="center" vertical="center" wrapText="1"/>
      <protection locked="0"/>
    </xf>
    <xf numFmtId="0" fontId="3" fillId="63" borderId="0" xfId="0" applyFont="1" applyFill="1" applyAlignment="1" applyProtection="1">
      <alignment horizontal="center" vertical="center" wrapText="1"/>
      <protection locked="0"/>
    </xf>
    <xf numFmtId="0" fontId="84" fillId="63" borderId="74" xfId="0" applyFont="1" applyFill="1" applyBorder="1" applyAlignment="1" applyProtection="1">
      <alignment horizontal="left" vertical="center" wrapText="1"/>
      <protection locked="0"/>
    </xf>
    <xf numFmtId="2" fontId="61" fillId="64" borderId="72" xfId="0" applyNumberFormat="1" applyFont="1" applyFill="1" applyBorder="1" applyAlignment="1" applyProtection="1">
      <alignment horizontal="center" vertical="center"/>
      <protection locked="0"/>
    </xf>
    <xf numFmtId="2" fontId="61" fillId="25" borderId="142" xfId="0" applyNumberFormat="1" applyFont="1" applyFill="1" applyBorder="1" applyAlignment="1" applyProtection="1">
      <alignment horizontal="center" vertical="center"/>
      <protection locked="0"/>
    </xf>
    <xf numFmtId="164" fontId="3" fillId="63" borderId="93" xfId="0" applyNumberFormat="1" applyFont="1" applyFill="1" applyBorder="1" applyAlignment="1" applyProtection="1">
      <alignment horizontal="center" vertical="center"/>
      <protection locked="0"/>
    </xf>
    <xf numFmtId="0" fontId="3" fillId="63" borderId="129" xfId="0" applyFont="1" applyFill="1" applyBorder="1" applyAlignment="1" applyProtection="1">
      <alignment horizontal="center" vertical="center" wrapText="1"/>
      <protection locked="0"/>
    </xf>
    <xf numFmtId="0" fontId="62" fillId="25" borderId="143" xfId="0" applyFont="1" applyFill="1" applyBorder="1" applyAlignment="1" applyProtection="1">
      <alignment horizontal="center" vertical="center" wrapText="1"/>
      <protection locked="0"/>
    </xf>
    <xf numFmtId="0" fontId="87" fillId="64" borderId="115" xfId="0" applyFont="1" applyFill="1" applyBorder="1" applyAlignment="1" applyProtection="1">
      <alignment horizontal="center" vertical="center"/>
      <protection locked="0"/>
    </xf>
    <xf numFmtId="1" fontId="86" fillId="63" borderId="87" xfId="0" applyNumberFormat="1" applyFont="1" applyFill="1" applyBorder="1" applyAlignment="1" applyProtection="1">
      <alignment horizontal="center" vertical="center"/>
      <protection locked="0"/>
    </xf>
    <xf numFmtId="165" fontId="69" fillId="25" borderId="83" xfId="0" applyNumberFormat="1" applyFont="1" applyFill="1" applyBorder="1" applyAlignment="1" applyProtection="1">
      <alignment horizontal="right" vertical="center"/>
      <protection locked="0"/>
    </xf>
    <xf numFmtId="0" fontId="97" fillId="63" borderId="90" xfId="0" applyFont="1" applyFill="1" applyBorder="1" applyAlignment="1" applyProtection="1">
      <alignment horizontal="left" vertical="center" wrapText="1"/>
      <protection locked="0"/>
    </xf>
    <xf numFmtId="0" fontId="87" fillId="28" borderId="88" xfId="0" applyFont="1" applyFill="1" applyBorder="1" applyAlignment="1" applyProtection="1">
      <alignment horizontal="center" vertical="center" wrapText="1"/>
      <protection locked="0"/>
    </xf>
    <xf numFmtId="0" fontId="91" fillId="63" borderId="87" xfId="0" applyFont="1" applyFill="1" applyBorder="1" applyAlignment="1" applyProtection="1">
      <alignment horizontal="center" vertical="center" wrapText="1"/>
      <protection locked="0"/>
    </xf>
    <xf numFmtId="0" fontId="3" fillId="63" borderId="122" xfId="0" applyFont="1" applyFill="1" applyBorder="1" applyAlignment="1" applyProtection="1">
      <alignment horizontal="center" vertical="center" wrapText="1"/>
      <protection locked="0"/>
    </xf>
    <xf numFmtId="0" fontId="23" fillId="63" borderId="122" xfId="0" applyFont="1" applyFill="1" applyBorder="1" applyAlignment="1" applyProtection="1">
      <alignment horizontal="center" vertical="center" wrapText="1"/>
      <protection locked="0"/>
    </xf>
    <xf numFmtId="0" fontId="68" fillId="25" borderId="137" xfId="0" applyFont="1" applyFill="1" applyBorder="1" applyAlignment="1" applyProtection="1">
      <alignment vertical="center"/>
      <protection locked="0"/>
    </xf>
    <xf numFmtId="0" fontId="69" fillId="25" borderId="137" xfId="0" applyFont="1" applyFill="1" applyBorder="1" applyAlignment="1" applyProtection="1">
      <alignment horizontal="right" vertical="center" wrapText="1"/>
      <protection locked="0"/>
    </xf>
    <xf numFmtId="2" fontId="61" fillId="25" borderId="144" xfId="0" applyNumberFormat="1" applyFont="1" applyFill="1" applyBorder="1" applyAlignment="1" applyProtection="1">
      <alignment horizontal="center" vertical="center"/>
      <protection locked="0"/>
    </xf>
    <xf numFmtId="0" fontId="61" fillId="64" borderId="87" xfId="0" applyFont="1" applyFill="1" applyBorder="1" applyAlignment="1" applyProtection="1">
      <alignment horizontal="center" vertical="center"/>
      <protection locked="0"/>
    </xf>
    <xf numFmtId="0" fontId="61" fillId="64" borderId="87" xfId="144" applyNumberFormat="1" applyFont="1" applyFill="1" applyBorder="1" applyAlignment="1" applyProtection="1">
      <alignment horizontal="center" vertical="center"/>
      <protection locked="0"/>
    </xf>
    <xf numFmtId="2" fontId="61" fillId="25" borderId="135" xfId="0" applyNumberFormat="1" applyFont="1" applyFill="1" applyBorder="1" applyAlignment="1" applyProtection="1">
      <alignment horizontal="center" vertical="center"/>
      <protection locked="0"/>
    </xf>
    <xf numFmtId="0" fontId="70" fillId="25" borderId="145" xfId="0" applyFont="1" applyFill="1" applyBorder="1" applyAlignment="1" applyProtection="1">
      <alignment horizontal="right" vertical="center"/>
      <protection locked="0"/>
    </xf>
    <xf numFmtId="0" fontId="92" fillId="25" borderId="73" xfId="0" applyFont="1" applyFill="1" applyBorder="1" applyAlignment="1" applyProtection="1">
      <alignment horizontal="right" vertical="center" wrapText="1"/>
      <protection locked="0"/>
    </xf>
    <xf numFmtId="2" fontId="87" fillId="25" borderId="87" xfId="0" applyNumberFormat="1" applyFont="1" applyFill="1" applyBorder="1" applyAlignment="1" applyProtection="1">
      <alignment horizontal="center" vertical="center"/>
      <protection locked="0"/>
    </xf>
    <xf numFmtId="2" fontId="87" fillId="25" borderId="72" xfId="0" applyNumberFormat="1" applyFont="1" applyFill="1" applyBorder="1" applyAlignment="1" applyProtection="1">
      <alignment horizontal="center" vertical="center"/>
      <protection locked="0"/>
    </xf>
    <xf numFmtId="0" fontId="83" fillId="63" borderId="87" xfId="0" applyFont="1" applyFill="1" applyBorder="1" applyAlignment="1">
      <alignment vertical="center" wrapText="1"/>
    </xf>
    <xf numFmtId="0" fontId="62" fillId="25" borderId="89" xfId="0" applyFont="1" applyFill="1" applyBorder="1" applyAlignment="1" applyProtection="1">
      <alignment horizontal="left" vertical="center" wrapText="1"/>
      <protection locked="0"/>
    </xf>
    <xf numFmtId="1" fontId="87" fillId="64" borderId="120" xfId="0" applyNumberFormat="1" applyFont="1" applyFill="1" applyBorder="1" applyAlignment="1" applyProtection="1">
      <alignment horizontal="center" vertical="center"/>
      <protection locked="0"/>
    </xf>
    <xf numFmtId="1" fontId="87" fillId="64" borderId="72" xfId="0" applyNumberFormat="1" applyFont="1" applyFill="1" applyBorder="1" applyAlignment="1" applyProtection="1">
      <alignment horizontal="center" vertical="center"/>
      <protection locked="0"/>
    </xf>
    <xf numFmtId="2" fontId="87" fillId="25" borderId="134" xfId="0" applyNumberFormat="1" applyFont="1" applyFill="1" applyBorder="1" applyAlignment="1" applyProtection="1">
      <alignment horizontal="center" vertical="center"/>
      <protection locked="0"/>
    </xf>
    <xf numFmtId="0" fontId="97" fillId="63" borderId="93" xfId="0" applyFont="1" applyFill="1" applyBorder="1" applyAlignment="1" applyProtection="1">
      <alignment horizontal="left" vertical="center" wrapText="1"/>
      <protection locked="0"/>
    </xf>
    <xf numFmtId="0" fontId="3" fillId="63" borderId="93" xfId="0" applyFont="1" applyFill="1" applyBorder="1" applyAlignment="1" applyProtection="1">
      <alignment horizontal="center" vertical="center"/>
      <protection locked="0"/>
    </xf>
    <xf numFmtId="0" fontId="70" fillId="25" borderId="83" xfId="0" applyFont="1" applyFill="1" applyBorder="1" applyAlignment="1" applyProtection="1">
      <alignment horizontal="right" vertical="center"/>
      <protection locked="0"/>
    </xf>
    <xf numFmtId="0" fontId="97" fillId="63" borderId="86" xfId="0" applyFont="1" applyFill="1" applyBorder="1" applyAlignment="1" applyProtection="1">
      <alignment horizontal="left" vertical="center" wrapText="1"/>
      <protection locked="0"/>
    </xf>
    <xf numFmtId="0" fontId="87" fillId="28" borderId="73" xfId="0" applyFont="1" applyFill="1" applyBorder="1" applyAlignment="1" applyProtection="1">
      <alignment horizontal="center" vertical="center" wrapText="1"/>
      <protection locked="0"/>
    </xf>
    <xf numFmtId="0" fontId="87" fillId="28" borderId="73" xfId="0" applyFont="1" applyFill="1" applyBorder="1" applyAlignment="1" applyProtection="1">
      <alignment horizontal="center" vertical="center"/>
      <protection locked="0"/>
    </xf>
    <xf numFmtId="0" fontId="62" fillId="25" borderId="146" xfId="0" applyFont="1" applyFill="1" applyBorder="1" applyAlignment="1" applyProtection="1">
      <alignment horizontal="center" vertical="center" wrapText="1"/>
      <protection locked="0"/>
    </xf>
    <xf numFmtId="0" fontId="67" fillId="25" borderId="113" xfId="0" applyFont="1" applyFill="1" applyBorder="1" applyAlignment="1" applyProtection="1">
      <alignment horizontal="center" vertical="center"/>
      <protection locked="0"/>
    </xf>
    <xf numFmtId="0" fontId="86" fillId="63" borderId="123" xfId="0" applyFont="1" applyFill="1" applyBorder="1" applyAlignment="1" applyProtection="1">
      <alignment horizontal="center" vertical="center" wrapText="1"/>
      <protection locked="0"/>
    </xf>
    <xf numFmtId="0" fontId="67" fillId="25" borderId="123" xfId="0" applyFont="1" applyFill="1" applyBorder="1" applyAlignment="1" applyProtection="1">
      <alignment horizontal="center" vertical="center" wrapText="1"/>
      <protection locked="0"/>
    </xf>
    <xf numFmtId="0" fontId="3" fillId="63" borderId="118" xfId="0" applyFont="1" applyFill="1" applyBorder="1" applyAlignment="1" applyProtection="1">
      <alignment horizontal="center" vertical="center" wrapText="1"/>
      <protection locked="0"/>
    </xf>
    <xf numFmtId="0" fontId="62" fillId="25" borderId="71" xfId="0" applyFont="1" applyFill="1" applyBorder="1" applyAlignment="1" applyProtection="1">
      <alignment horizontal="left" vertical="center" wrapText="1"/>
      <protection locked="0"/>
    </xf>
    <xf numFmtId="0" fontId="3" fillId="63" borderId="147" xfId="0" applyFont="1" applyFill="1" applyBorder="1" applyAlignment="1" applyProtection="1">
      <alignment horizontal="center" vertical="center" wrapText="1"/>
      <protection locked="0"/>
    </xf>
    <xf numFmtId="0" fontId="23" fillId="63" borderId="73" xfId="0" applyFont="1" applyFill="1" applyBorder="1" applyAlignment="1" applyProtection="1">
      <alignment horizontal="center" vertical="center" wrapText="1"/>
      <protection locked="0"/>
    </xf>
    <xf numFmtId="0" fontId="62" fillId="25" borderId="148" xfId="0" applyFont="1" applyFill="1" applyBorder="1" applyAlignment="1" applyProtection="1">
      <alignment horizontal="left" vertical="center" wrapText="1"/>
      <protection locked="0"/>
    </xf>
    <xf numFmtId="0" fontId="67" fillId="25" borderId="121" xfId="0" applyFont="1" applyFill="1" applyBorder="1" applyAlignment="1" applyProtection="1">
      <alignment horizontal="center" vertical="center"/>
      <protection locked="0"/>
    </xf>
    <xf numFmtId="0" fontId="67" fillId="25" borderId="137" xfId="0" applyFont="1" applyFill="1" applyBorder="1" applyAlignment="1" applyProtection="1">
      <alignment horizontal="center" vertical="center" wrapText="1"/>
      <protection locked="0"/>
    </xf>
    <xf numFmtId="0" fontId="67" fillId="25" borderId="93" xfId="0" applyFont="1" applyFill="1" applyBorder="1" applyAlignment="1" applyProtection="1">
      <alignment horizontal="center" vertical="center" wrapText="1"/>
      <protection locked="0"/>
    </xf>
    <xf numFmtId="0" fontId="3" fillId="70" borderId="87" xfId="0" applyFont="1" applyFill="1" applyBorder="1" applyAlignment="1" applyProtection="1">
      <alignment horizontal="center" vertical="center" wrapText="1"/>
      <protection locked="0"/>
    </xf>
    <xf numFmtId="0" fontId="62" fillId="25" borderId="127" xfId="0" applyFont="1" applyFill="1" applyBorder="1" applyAlignment="1" applyProtection="1">
      <alignment horizontal="center" vertical="center" wrapText="1"/>
      <protection locked="0"/>
    </xf>
    <xf numFmtId="0" fontId="3" fillId="63" borderId="67" xfId="0" applyFont="1" applyFill="1" applyBorder="1" applyAlignment="1" applyProtection="1">
      <alignment horizontal="center" vertical="center" wrapText="1"/>
      <protection locked="0"/>
    </xf>
    <xf numFmtId="14" fontId="3" fillId="63" borderId="66" xfId="0" applyNumberFormat="1" applyFont="1" applyFill="1" applyBorder="1" applyAlignment="1" applyProtection="1">
      <alignment horizontal="center" vertical="center" wrapText="1"/>
      <protection locked="0"/>
    </xf>
    <xf numFmtId="0" fontId="3" fillId="63" borderId="66" xfId="0" applyFont="1" applyFill="1" applyBorder="1" applyAlignment="1" applyProtection="1">
      <alignment horizontal="center" vertical="center" wrapText="1"/>
      <protection locked="0"/>
    </xf>
    <xf numFmtId="0" fontId="3" fillId="63" borderId="66" xfId="0" applyFont="1" applyFill="1" applyBorder="1" applyAlignment="1" applyProtection="1">
      <alignment horizontal="center" vertical="center"/>
      <protection locked="0"/>
    </xf>
    <xf numFmtId="164" fontId="3" fillId="63" borderId="66" xfId="0" applyNumberFormat="1" applyFont="1" applyFill="1" applyBorder="1" applyAlignment="1" applyProtection="1">
      <alignment horizontal="center" vertical="center"/>
      <protection locked="0"/>
    </xf>
    <xf numFmtId="0" fontId="3" fillId="63" borderId="149" xfId="0" applyFont="1" applyFill="1" applyBorder="1" applyAlignment="1" applyProtection="1">
      <alignment horizontal="center" vertical="center" wrapText="1"/>
      <protection locked="0"/>
    </xf>
    <xf numFmtId="165" fontId="69" fillId="25" borderId="142" xfId="0" applyNumberFormat="1" applyFont="1" applyFill="1" applyBorder="1" applyAlignment="1" applyProtection="1">
      <alignment horizontal="right" vertical="center"/>
      <protection locked="0"/>
    </xf>
    <xf numFmtId="1" fontId="67" fillId="25" borderId="137" xfId="0" applyNumberFormat="1" applyFont="1" applyFill="1" applyBorder="1" applyAlignment="1" applyProtection="1">
      <alignment horizontal="center" vertical="center"/>
      <protection locked="0"/>
    </xf>
    <xf numFmtId="0" fontId="3" fillId="63" borderId="140" xfId="0" applyFont="1" applyFill="1" applyBorder="1" applyAlignment="1" applyProtection="1">
      <alignment horizontal="center" vertical="center" wrapText="1"/>
      <protection locked="0"/>
    </xf>
    <xf numFmtId="0" fontId="83" fillId="63" borderId="123" xfId="0" applyFont="1" applyFill="1" applyBorder="1" applyAlignment="1" applyProtection="1">
      <alignment horizontal="left" vertical="center" wrapText="1"/>
      <protection locked="0"/>
    </xf>
    <xf numFmtId="0" fontId="90" fillId="63" borderId="123" xfId="0" applyFont="1" applyFill="1" applyBorder="1" applyAlignment="1" applyProtection="1">
      <alignment horizontal="left" vertical="center" wrapText="1"/>
      <protection locked="0"/>
    </xf>
    <xf numFmtId="0" fontId="23" fillId="63" borderId="0" xfId="0" applyFont="1" applyFill="1" applyAlignment="1" applyProtection="1">
      <alignment horizontal="center" vertical="center" wrapText="1"/>
      <protection locked="0"/>
    </xf>
    <xf numFmtId="0" fontId="3" fillId="63" borderId="102" xfId="0" applyFont="1" applyFill="1" applyBorder="1" applyAlignment="1" applyProtection="1">
      <alignment horizontal="center" vertical="center"/>
      <protection locked="0"/>
    </xf>
    <xf numFmtId="0" fontId="62" fillId="25" borderId="93" xfId="0" applyFont="1" applyFill="1" applyBorder="1" applyAlignment="1" applyProtection="1">
      <alignment horizontal="left" vertical="center" wrapText="1"/>
      <protection locked="0"/>
    </xf>
    <xf numFmtId="164" fontId="3" fillId="63" borderId="111" xfId="0" applyNumberFormat="1" applyFont="1" applyFill="1" applyBorder="1" applyAlignment="1" applyProtection="1">
      <alignment horizontal="center" vertical="center"/>
      <protection locked="0"/>
    </xf>
    <xf numFmtId="0" fontId="67" fillId="25" borderId="91" xfId="0" applyFont="1" applyFill="1" applyBorder="1" applyAlignment="1" applyProtection="1">
      <alignment horizontal="center" vertical="center" wrapText="1"/>
      <protection locked="0"/>
    </xf>
    <xf numFmtId="0" fontId="67" fillId="25" borderId="141" xfId="0" applyFont="1" applyFill="1" applyBorder="1" applyAlignment="1" applyProtection="1">
      <alignment horizontal="center" vertical="center"/>
      <protection locked="0"/>
    </xf>
    <xf numFmtId="0" fontId="67" fillId="25" borderId="137" xfId="0" applyFont="1" applyFill="1" applyBorder="1" applyAlignment="1" applyProtection="1">
      <alignment horizontal="center" vertical="center"/>
      <protection locked="0"/>
    </xf>
    <xf numFmtId="0" fontId="62" fillId="25" borderId="102" xfId="0" applyFont="1" applyFill="1" applyBorder="1" applyAlignment="1" applyProtection="1">
      <alignment horizontal="left" vertical="center" wrapText="1"/>
      <protection locked="0"/>
    </xf>
    <xf numFmtId="2" fontId="61" fillId="25" borderId="74" xfId="0" applyNumberFormat="1" applyFont="1" applyFill="1" applyBorder="1" applyAlignment="1" applyProtection="1">
      <alignment horizontal="center" vertical="center"/>
      <protection locked="0"/>
    </xf>
    <xf numFmtId="2" fontId="61" fillId="25" borderId="150" xfId="0" applyNumberFormat="1" applyFont="1" applyFill="1" applyBorder="1" applyAlignment="1" applyProtection="1">
      <alignment horizontal="center" vertical="center"/>
      <protection locked="0"/>
    </xf>
    <xf numFmtId="0" fontId="97" fillId="63" borderId="87" xfId="0" applyFont="1" applyFill="1" applyBorder="1" applyAlignment="1" applyProtection="1">
      <alignment horizontal="left" vertical="center" wrapText="1"/>
      <protection locked="0"/>
    </xf>
    <xf numFmtId="0" fontId="87" fillId="64" borderId="87" xfId="144" applyNumberFormat="1" applyFont="1" applyFill="1" applyBorder="1" applyAlignment="1" applyProtection="1">
      <alignment horizontal="center" vertical="center"/>
      <protection locked="0"/>
    </xf>
    <xf numFmtId="0" fontId="67" fillId="25" borderId="27" xfId="0" applyFont="1" applyFill="1" applyBorder="1" applyAlignment="1" applyProtection="1">
      <alignment horizontal="center" vertical="center"/>
      <protection locked="0"/>
    </xf>
    <xf numFmtId="0" fontId="61" fillId="63" borderId="86" xfId="0" applyFont="1" applyFill="1" applyBorder="1" applyAlignment="1" applyProtection="1">
      <alignment horizontal="left" vertical="center" wrapText="1"/>
      <protection locked="0"/>
    </xf>
    <xf numFmtId="0" fontId="3" fillId="63" borderId="151" xfId="0" applyFont="1" applyFill="1" applyBorder="1" applyAlignment="1" applyProtection="1">
      <alignment horizontal="center" vertical="center" wrapText="1"/>
      <protection locked="0"/>
    </xf>
    <xf numFmtId="14" fontId="3" fillId="63" borderId="93" xfId="0" applyNumberFormat="1" applyFont="1" applyFill="1" applyBorder="1" applyAlignment="1" applyProtection="1">
      <alignment horizontal="center" vertical="center" wrapText="1"/>
      <protection locked="0"/>
    </xf>
    <xf numFmtId="0" fontId="68" fillId="25" borderId="74" xfId="0" applyFont="1" applyFill="1" applyBorder="1" applyAlignment="1" applyProtection="1">
      <alignment vertical="center"/>
      <protection locked="0"/>
    </xf>
    <xf numFmtId="165" fontId="69" fillId="25" borderId="74" xfId="0" applyNumberFormat="1" applyFont="1" applyFill="1" applyBorder="1" applyAlignment="1" applyProtection="1">
      <alignment horizontal="right" vertical="center"/>
      <protection locked="0"/>
    </xf>
    <xf numFmtId="0" fontId="62" fillId="25" borderId="85" xfId="0" applyFont="1" applyFill="1" applyBorder="1" applyAlignment="1" applyProtection="1">
      <alignment horizontal="center" vertical="center" wrapText="1"/>
      <protection locked="0"/>
    </xf>
    <xf numFmtId="0" fontId="3" fillId="28" borderId="87" xfId="0" applyFont="1" applyFill="1" applyBorder="1" applyAlignment="1" applyProtection="1">
      <alignment horizontal="center" vertical="center" wrapText="1"/>
      <protection locked="0"/>
    </xf>
    <xf numFmtId="0" fontId="83" fillId="63" borderId="152" xfId="0" applyFont="1" applyFill="1" applyBorder="1" applyAlignment="1" applyProtection="1">
      <alignment horizontal="left" vertical="center" wrapText="1"/>
      <protection locked="0"/>
    </xf>
    <xf numFmtId="0" fontId="87" fillId="64" borderId="73" xfId="0" applyFont="1" applyFill="1" applyBorder="1" applyAlignment="1" applyProtection="1">
      <alignment horizontal="center" vertical="center"/>
      <protection locked="0"/>
    </xf>
    <xf numFmtId="14" fontId="3" fillId="63" borderId="153" xfId="0" applyNumberFormat="1" applyFont="1" applyFill="1" applyBorder="1" applyAlignment="1" applyProtection="1">
      <alignment horizontal="center" vertical="center" wrapText="1"/>
      <protection locked="0"/>
    </xf>
    <xf numFmtId="0" fontId="3" fillId="63" borderId="153" xfId="0" applyFont="1" applyFill="1" applyBorder="1" applyAlignment="1" applyProtection="1">
      <alignment horizontal="center" vertical="center" wrapText="1"/>
      <protection locked="0"/>
    </xf>
    <xf numFmtId="0" fontId="87" fillId="64" borderId="153" xfId="0" applyFont="1" applyFill="1" applyBorder="1" applyAlignment="1" applyProtection="1">
      <alignment horizontal="center" vertical="center"/>
      <protection locked="0"/>
    </xf>
    <xf numFmtId="0" fontId="83" fillId="63" borderId="72" xfId="0" applyFont="1" applyFill="1" applyBorder="1" applyAlignment="1" applyProtection="1">
      <alignment horizontal="left" vertical="center" wrapText="1"/>
      <protection locked="0"/>
    </xf>
    <xf numFmtId="0" fontId="83" fillId="63" borderId="71" xfId="0" applyFont="1" applyFill="1" applyBorder="1" applyAlignment="1" applyProtection="1">
      <alignment horizontal="left" vertical="center" wrapText="1"/>
      <protection locked="0"/>
    </xf>
    <xf numFmtId="14" fontId="23" fillId="63" borderId="88" xfId="0" applyNumberFormat="1" applyFont="1" applyFill="1" applyBorder="1" applyAlignment="1" applyProtection="1">
      <alignment horizontal="center" vertical="center" wrapText="1"/>
      <protection locked="0"/>
    </xf>
    <xf numFmtId="0" fontId="3" fillId="70" borderId="86" xfId="0" applyFont="1" applyFill="1" applyBorder="1" applyAlignment="1" applyProtection="1">
      <alignment horizontal="center" vertical="center" wrapText="1"/>
      <protection locked="0"/>
    </xf>
    <xf numFmtId="0" fontId="3" fillId="70" borderId="105" xfId="0" applyFont="1" applyFill="1" applyBorder="1" applyAlignment="1" applyProtection="1">
      <alignment horizontal="center" vertical="center" wrapText="1"/>
      <protection locked="0"/>
    </xf>
    <xf numFmtId="0" fontId="3" fillId="63" borderId="154" xfId="0" applyFont="1" applyFill="1" applyBorder="1" applyAlignment="1" applyProtection="1">
      <alignment horizontal="center" vertical="center"/>
      <protection locked="0"/>
    </xf>
    <xf numFmtId="164" fontId="3" fillId="63" borderId="109" xfId="0" applyNumberFormat="1" applyFont="1" applyFill="1" applyBorder="1" applyAlignment="1" applyProtection="1">
      <alignment horizontal="center" vertical="center"/>
      <protection locked="0"/>
    </xf>
    <xf numFmtId="0" fontId="3" fillId="63" borderId="154" xfId="0" applyFont="1" applyFill="1" applyBorder="1" applyAlignment="1" applyProtection="1">
      <alignment horizontal="center" vertical="center" wrapText="1"/>
      <protection locked="0"/>
    </xf>
    <xf numFmtId="0" fontId="87" fillId="64" borderId="105" xfId="0" applyFont="1" applyFill="1" applyBorder="1" applyAlignment="1" applyProtection="1">
      <alignment horizontal="center" vertical="center"/>
      <protection locked="0"/>
    </xf>
    <xf numFmtId="0" fontId="87" fillId="64" borderId="105" xfId="144" applyNumberFormat="1" applyFont="1" applyFill="1" applyBorder="1" applyAlignment="1" applyProtection="1">
      <alignment horizontal="center" vertical="center"/>
      <protection locked="0"/>
    </xf>
    <xf numFmtId="0" fontId="23" fillId="63" borderId="153" xfId="0" applyFont="1" applyFill="1" applyBorder="1" applyAlignment="1" applyProtection="1">
      <alignment horizontal="left" vertical="center" wrapText="1"/>
      <protection locked="0"/>
    </xf>
    <xf numFmtId="0" fontId="83" fillId="63" borderId="87" xfId="0" applyFont="1" applyFill="1" applyBorder="1" applyAlignment="1" applyProtection="1">
      <alignment vertical="top" wrapText="1"/>
      <protection locked="0"/>
    </xf>
    <xf numFmtId="0" fontId="56" fillId="29" borderId="152" xfId="0" applyFont="1" applyFill="1" applyBorder="1" applyAlignment="1">
      <alignment horizontal="left" vertical="center"/>
    </xf>
    <xf numFmtId="0" fontId="32" fillId="0" borderId="152" xfId="0" applyFont="1" applyBorder="1" applyAlignment="1">
      <alignment horizontal="center" vertical="center"/>
    </xf>
    <xf numFmtId="0" fontId="71" fillId="63" borderId="152" xfId="0" applyFont="1" applyFill="1" applyBorder="1" applyAlignment="1" applyProtection="1">
      <alignment horizontal="center" vertical="center" wrapText="1"/>
      <protection locked="0"/>
    </xf>
    <xf numFmtId="0" fontId="67" fillId="25" borderId="74" xfId="0" applyFont="1" applyFill="1" applyBorder="1" applyAlignment="1" applyProtection="1">
      <alignment horizontal="center" vertical="center" wrapText="1"/>
      <protection locked="0"/>
    </xf>
    <xf numFmtId="0" fontId="3" fillId="63" borderId="112" xfId="0" applyFont="1" applyFill="1" applyBorder="1" applyAlignment="1" applyProtection="1">
      <alignment horizontal="center" vertical="center"/>
      <protection locked="0"/>
    </xf>
    <xf numFmtId="0" fontId="3" fillId="63" borderId="137" xfId="0" applyFont="1" applyFill="1" applyBorder="1" applyAlignment="1" applyProtection="1">
      <alignment horizontal="center" vertical="center" wrapText="1"/>
      <protection locked="0"/>
    </xf>
    <xf numFmtId="14" fontId="3" fillId="63" borderId="137" xfId="0" applyNumberFormat="1" applyFont="1" applyFill="1" applyBorder="1" applyAlignment="1" applyProtection="1">
      <alignment horizontal="center" vertical="center" wrapText="1"/>
      <protection locked="0"/>
    </xf>
    <xf numFmtId="0" fontId="23" fillId="63" borderId="112" xfId="0" applyFont="1" applyFill="1" applyBorder="1" applyAlignment="1" applyProtection="1">
      <alignment horizontal="center" vertical="center" wrapText="1"/>
      <protection locked="0"/>
    </xf>
    <xf numFmtId="0" fontId="61" fillId="63" borderId="71" xfId="0" applyFont="1" applyFill="1" applyBorder="1" applyAlignment="1" applyProtection="1">
      <alignment horizontal="left" vertical="center" wrapText="1"/>
      <protection locked="0"/>
    </xf>
    <xf numFmtId="0" fontId="61" fillId="64" borderId="71" xfId="0" applyFont="1" applyFill="1" applyBorder="1" applyAlignment="1" applyProtection="1">
      <alignment horizontal="center" vertical="center"/>
      <protection locked="0"/>
    </xf>
    <xf numFmtId="164" fontId="3" fillId="63" borderId="91" xfId="0" applyNumberFormat="1" applyFont="1" applyFill="1" applyBorder="1" applyAlignment="1" applyProtection="1">
      <alignment horizontal="center" vertical="center"/>
      <protection locked="0"/>
    </xf>
    <xf numFmtId="0" fontId="61" fillId="64" borderId="71" xfId="144" applyNumberFormat="1" applyFont="1" applyFill="1" applyBorder="1" applyAlignment="1" applyProtection="1">
      <alignment horizontal="center" vertical="center"/>
      <protection locked="0"/>
    </xf>
    <xf numFmtId="0" fontId="61" fillId="64" borderId="111" xfId="0" applyFont="1" applyFill="1" applyBorder="1" applyAlignment="1" applyProtection="1">
      <alignment horizontal="center" vertical="center"/>
      <protection locked="0"/>
    </xf>
    <xf numFmtId="164" fontId="3" fillId="63" borderId="112" xfId="0" applyNumberFormat="1" applyFont="1" applyFill="1" applyBorder="1" applyAlignment="1" applyProtection="1">
      <alignment horizontal="center" vertical="center"/>
      <protection locked="0"/>
    </xf>
    <xf numFmtId="169" fontId="87" fillId="64" borderId="87" xfId="0" applyNumberFormat="1" applyFont="1" applyFill="1" applyBorder="1" applyAlignment="1" applyProtection="1">
      <alignment horizontal="center" vertical="center" indent="1"/>
      <protection locked="0"/>
    </xf>
    <xf numFmtId="0" fontId="99" fillId="67" borderId="87" xfId="0" applyFont="1" applyFill="1" applyBorder="1" applyAlignment="1">
      <alignment horizontal="center" vertical="center" wrapText="1"/>
    </xf>
    <xf numFmtId="49" fontId="60" fillId="73" borderId="72" xfId="0" applyNumberFormat="1" applyFont="1" applyFill="1" applyBorder="1" applyAlignment="1" applyProtection="1">
      <alignment horizontal="center" vertical="center" wrapText="1"/>
      <protection locked="0"/>
    </xf>
    <xf numFmtId="0" fontId="60" fillId="73" borderId="72" xfId="0" applyFont="1" applyFill="1" applyBorder="1" applyAlignment="1" applyProtection="1">
      <alignment horizontal="center" vertical="center" wrapText="1"/>
      <protection locked="0"/>
    </xf>
    <xf numFmtId="0" fontId="60" fillId="73" borderId="127" xfId="0" applyFont="1" applyFill="1" applyBorder="1" applyAlignment="1" applyProtection="1">
      <alignment horizontal="center" vertical="center" wrapText="1"/>
      <protection locked="0"/>
    </xf>
    <xf numFmtId="0" fontId="100" fillId="74" borderId="87" xfId="0" applyFont="1" applyFill="1" applyBorder="1" applyAlignment="1" applyProtection="1">
      <alignment horizontal="center" vertical="center" wrapText="1"/>
      <protection locked="0"/>
    </xf>
    <xf numFmtId="1" fontId="100" fillId="74" borderId="122" xfId="0" applyNumberFormat="1" applyFont="1" applyFill="1" applyBorder="1" applyAlignment="1" applyProtection="1">
      <alignment horizontal="center" vertical="center"/>
      <protection locked="0"/>
    </xf>
    <xf numFmtId="0" fontId="100" fillId="74" borderId="122" xfId="0" applyFont="1" applyFill="1" applyBorder="1" applyAlignment="1" applyProtection="1">
      <alignment horizontal="center" vertical="center"/>
      <protection locked="0"/>
    </xf>
    <xf numFmtId="0" fontId="100" fillId="74" borderId="87" xfId="0" applyFont="1" applyFill="1" applyBorder="1" applyAlignment="1" applyProtection="1">
      <alignment horizontal="center" vertical="center"/>
      <protection locked="0"/>
    </xf>
    <xf numFmtId="0" fontId="100" fillId="74" borderId="122" xfId="144" applyNumberFormat="1" applyFont="1" applyFill="1" applyBorder="1" applyAlignment="1" applyProtection="1">
      <alignment horizontal="center" vertical="center"/>
      <protection locked="0"/>
    </xf>
    <xf numFmtId="165" fontId="100" fillId="74" borderId="87" xfId="0" applyNumberFormat="1" applyFont="1" applyFill="1" applyBorder="1" applyAlignment="1" applyProtection="1">
      <alignment horizontal="center" vertical="center"/>
      <protection locked="0"/>
    </xf>
    <xf numFmtId="2" fontId="100" fillId="74" borderId="87" xfId="0" applyNumberFormat="1" applyFont="1" applyFill="1" applyBorder="1" applyAlignment="1" applyProtection="1">
      <alignment horizontal="center" vertical="center"/>
      <protection locked="0"/>
    </xf>
    <xf numFmtId="1" fontId="100" fillId="74" borderId="87" xfId="0" applyNumberFormat="1" applyFont="1" applyFill="1" applyBorder="1" applyAlignment="1" applyProtection="1">
      <alignment horizontal="center" vertical="center"/>
      <protection locked="0"/>
    </xf>
    <xf numFmtId="0" fontId="100" fillId="29" borderId="0" xfId="0" applyFont="1" applyFill="1" applyAlignment="1" applyProtection="1">
      <alignment horizontal="center" vertical="center" wrapText="1"/>
      <protection locked="0"/>
    </xf>
    <xf numFmtId="0" fontId="102" fillId="29" borderId="0" xfId="0" applyFont="1" applyFill="1" applyAlignment="1" applyProtection="1">
      <alignment vertical="center"/>
      <protection locked="0"/>
    </xf>
    <xf numFmtId="49" fontId="111" fillId="24" borderId="0" xfId="0" applyNumberFormat="1" applyFont="1" applyFill="1" applyAlignment="1" applyProtection="1">
      <alignment horizontal="center" vertical="center"/>
      <protection locked="0"/>
    </xf>
    <xf numFmtId="164" fontId="102" fillId="24" borderId="0" xfId="0" applyNumberFormat="1" applyFont="1" applyFill="1" applyAlignment="1" applyProtection="1">
      <alignment horizontal="center" vertical="center"/>
      <protection locked="0"/>
    </xf>
    <xf numFmtId="0" fontId="102" fillId="24" borderId="0" xfId="0" applyFont="1" applyFill="1" applyAlignment="1" applyProtection="1">
      <alignment horizontal="center" vertical="center"/>
      <protection locked="0"/>
    </xf>
    <xf numFmtId="0" fontId="102" fillId="24" borderId="0" xfId="0" applyFont="1" applyFill="1" applyAlignment="1" applyProtection="1">
      <alignment vertical="center"/>
      <protection locked="0"/>
    </xf>
    <xf numFmtId="0" fontId="102" fillId="24" borderId="0" xfId="0" applyFont="1" applyFill="1" applyAlignment="1" applyProtection="1">
      <alignment horizontal="left" vertical="center"/>
      <protection locked="0"/>
    </xf>
    <xf numFmtId="0" fontId="100" fillId="24" borderId="0" xfId="0" applyFont="1" applyFill="1" applyAlignment="1" applyProtection="1">
      <alignment horizontal="center" vertical="center"/>
      <protection locked="0"/>
    </xf>
    <xf numFmtId="0" fontId="100" fillId="29" borderId="0" xfId="0" applyFont="1" applyFill="1" applyAlignment="1" applyProtection="1">
      <alignment horizontal="center" vertical="center"/>
      <protection locked="0"/>
    </xf>
    <xf numFmtId="0" fontId="100" fillId="32" borderId="123" xfId="0" applyFont="1" applyFill="1" applyBorder="1" applyAlignment="1" applyProtection="1">
      <alignment horizontal="center" vertical="center" wrapText="1"/>
      <protection locked="0"/>
    </xf>
    <xf numFmtId="0" fontId="100" fillId="32" borderId="87" xfId="0" applyFont="1" applyFill="1" applyBorder="1" applyAlignment="1" applyProtection="1">
      <alignment horizontal="left" vertical="center" wrapText="1"/>
      <protection locked="0"/>
    </xf>
    <xf numFmtId="0" fontId="100" fillId="32" borderId="87" xfId="0" applyFont="1" applyFill="1" applyBorder="1" applyAlignment="1" applyProtection="1">
      <alignment horizontal="center" vertical="center" wrapText="1"/>
      <protection locked="0"/>
    </xf>
    <xf numFmtId="0" fontId="100" fillId="32" borderId="87" xfId="0" applyFont="1" applyFill="1" applyBorder="1" applyAlignment="1" applyProtection="1">
      <alignment horizontal="center" vertical="center"/>
      <protection locked="0"/>
    </xf>
    <xf numFmtId="0" fontId="101" fillId="32" borderId="87" xfId="0" applyFont="1" applyFill="1" applyBorder="1" applyAlignment="1" applyProtection="1">
      <alignment vertical="center" wrapText="1"/>
      <protection locked="0"/>
    </xf>
    <xf numFmtId="2" fontId="100" fillId="32" borderId="87" xfId="0" applyNumberFormat="1" applyFont="1" applyFill="1" applyBorder="1" applyAlignment="1" applyProtection="1">
      <alignment horizontal="center" vertical="center"/>
      <protection locked="0"/>
    </xf>
    <xf numFmtId="2" fontId="100" fillId="32" borderId="122" xfId="0" applyNumberFormat="1" applyFont="1" applyFill="1" applyBorder="1" applyAlignment="1" applyProtection="1">
      <alignment horizontal="center" vertical="center"/>
      <protection locked="0"/>
    </xf>
    <xf numFmtId="0" fontId="105" fillId="32" borderId="87" xfId="0" applyFont="1" applyFill="1" applyBorder="1" applyAlignment="1" applyProtection="1">
      <alignment horizontal="left" vertical="center" wrapText="1"/>
      <protection locked="0"/>
    </xf>
    <xf numFmtId="0" fontId="102" fillId="32" borderId="87" xfId="0" applyFont="1" applyFill="1" applyBorder="1" applyProtection="1">
      <protection locked="0"/>
    </xf>
    <xf numFmtId="0" fontId="106" fillId="32" borderId="87" xfId="0" applyFont="1" applyFill="1" applyBorder="1" applyAlignment="1" applyProtection="1">
      <alignment horizontal="center" vertical="center" wrapText="1"/>
      <protection locked="0"/>
    </xf>
    <xf numFmtId="0" fontId="106" fillId="32" borderId="87" xfId="0" applyFont="1" applyFill="1" applyBorder="1" applyAlignment="1" applyProtection="1">
      <alignment horizontal="center" vertical="center"/>
      <protection locked="0"/>
    </xf>
    <xf numFmtId="2" fontId="100" fillId="32" borderId="87" xfId="0" applyNumberFormat="1" applyFont="1" applyFill="1" applyBorder="1" applyAlignment="1" applyProtection="1">
      <alignment horizontal="center" vertical="center" wrapText="1"/>
      <protection locked="0"/>
    </xf>
    <xf numFmtId="2" fontId="100" fillId="32" borderId="122" xfId="0" applyNumberFormat="1" applyFont="1" applyFill="1" applyBorder="1" applyAlignment="1" applyProtection="1">
      <alignment horizontal="center" vertical="center" wrapText="1"/>
      <protection locked="0"/>
    </xf>
    <xf numFmtId="0" fontId="100" fillId="32" borderId="87" xfId="0" applyFont="1" applyFill="1" applyBorder="1" applyProtection="1">
      <protection locked="0"/>
    </xf>
    <xf numFmtId="0" fontId="108" fillId="32" borderId="87" xfId="0" applyFont="1" applyFill="1" applyBorder="1" applyAlignment="1" applyProtection="1">
      <alignment vertical="center" wrapText="1"/>
      <protection locked="0"/>
    </xf>
    <xf numFmtId="0" fontId="110" fillId="32" borderId="87" xfId="0" applyFont="1" applyFill="1" applyBorder="1" applyAlignment="1" applyProtection="1">
      <alignment horizontal="center"/>
      <protection locked="0"/>
    </xf>
    <xf numFmtId="0" fontId="109" fillId="32" borderId="123" xfId="0" applyFont="1" applyFill="1" applyBorder="1" applyAlignment="1" applyProtection="1">
      <alignment horizontal="center" vertical="center" wrapText="1"/>
      <protection locked="0"/>
    </xf>
    <xf numFmtId="0" fontId="101" fillId="32" borderId="87" xfId="0" applyFont="1" applyFill="1" applyBorder="1" applyAlignment="1" applyProtection="1">
      <alignment vertical="center"/>
      <protection locked="0"/>
    </xf>
    <xf numFmtId="0" fontId="107" fillId="32" borderId="87" xfId="0" applyFont="1" applyFill="1" applyBorder="1" applyAlignment="1" applyProtection="1">
      <alignment vertical="center"/>
      <protection locked="0"/>
    </xf>
    <xf numFmtId="1" fontId="106" fillId="32" borderId="87" xfId="0" applyNumberFormat="1" applyFont="1" applyFill="1" applyBorder="1" applyAlignment="1" applyProtection="1">
      <alignment horizontal="center" vertical="center"/>
      <protection locked="0"/>
    </xf>
    <xf numFmtId="0" fontId="102" fillId="75" borderId="123" xfId="0" applyFont="1" applyFill="1" applyBorder="1" applyAlignment="1" applyProtection="1">
      <alignment horizontal="center" vertical="center" wrapText="1"/>
      <protection locked="0"/>
    </xf>
    <xf numFmtId="0" fontId="102" fillId="75" borderId="87" xfId="0" applyFont="1" applyFill="1" applyBorder="1" applyAlignment="1" applyProtection="1">
      <alignment horizontal="center" vertical="center" wrapText="1"/>
      <protection locked="0"/>
    </xf>
    <xf numFmtId="14" fontId="102" fillId="75" borderId="87" xfId="0" applyNumberFormat="1" applyFont="1" applyFill="1" applyBorder="1" applyAlignment="1" applyProtection="1">
      <alignment horizontal="center" vertical="center" wrapText="1"/>
      <protection locked="0"/>
    </xf>
    <xf numFmtId="0" fontId="99" fillId="75" borderId="87" xfId="0" applyFont="1" applyFill="1" applyBorder="1" applyAlignment="1" applyProtection="1">
      <alignment horizontal="center" vertical="center" wrapText="1"/>
      <protection locked="0"/>
    </xf>
    <xf numFmtId="0" fontId="104" fillId="75" borderId="87" xfId="0" applyFont="1" applyFill="1" applyBorder="1" applyAlignment="1" applyProtection="1">
      <alignment horizontal="left" vertical="center" wrapText="1"/>
      <protection locked="0"/>
    </xf>
    <xf numFmtId="164" fontId="102" fillId="75" borderId="87" xfId="0" applyNumberFormat="1" applyFont="1" applyFill="1" applyBorder="1" applyAlignment="1" applyProtection="1">
      <alignment horizontal="center" vertical="center"/>
      <protection locked="0"/>
    </xf>
    <xf numFmtId="3" fontId="102" fillId="75" borderId="87" xfId="0" applyNumberFormat="1" applyFont="1" applyFill="1" applyBorder="1" applyAlignment="1" applyProtection="1">
      <alignment horizontal="center" vertical="center" wrapText="1"/>
      <protection locked="0"/>
    </xf>
    <xf numFmtId="49" fontId="60" fillId="73" borderId="129" xfId="0" applyNumberFormat="1" applyFont="1" applyFill="1" applyBorder="1" applyAlignment="1" applyProtection="1">
      <alignment horizontal="center" vertical="center" wrapText="1"/>
      <protection locked="0"/>
    </xf>
    <xf numFmtId="0" fontId="105" fillId="32" borderId="123" xfId="0" applyFont="1" applyFill="1" applyBorder="1" applyAlignment="1" applyProtection="1">
      <alignment horizontal="center" vertical="center" wrapText="1"/>
      <protection locked="0"/>
    </xf>
    <xf numFmtId="0" fontId="107" fillId="32" borderId="87" xfId="0" applyFont="1" applyFill="1" applyBorder="1" applyAlignment="1" applyProtection="1">
      <alignment vertical="center" wrapText="1"/>
      <protection locked="0"/>
    </xf>
    <xf numFmtId="0" fontId="112" fillId="75" borderId="123" xfId="0" applyFont="1" applyFill="1" applyBorder="1" applyAlignment="1" applyProtection="1">
      <alignment horizontal="center" vertical="center" wrapText="1"/>
      <protection locked="0"/>
    </xf>
    <xf numFmtId="0" fontId="112" fillId="75" borderId="87" xfId="0" applyFont="1" applyFill="1" applyBorder="1" applyAlignment="1" applyProtection="1">
      <alignment horizontal="center" vertical="center" wrapText="1"/>
      <protection locked="0"/>
    </xf>
    <xf numFmtId="14" fontId="112" fillId="75" borderId="87" xfId="0" applyNumberFormat="1" applyFont="1" applyFill="1" applyBorder="1" applyAlignment="1" applyProtection="1">
      <alignment horizontal="center" vertical="center" wrapText="1"/>
      <protection locked="0"/>
    </xf>
    <xf numFmtId="0" fontId="116" fillId="32" borderId="87" xfId="0" applyFont="1" applyFill="1" applyBorder="1" applyAlignment="1" applyProtection="1">
      <alignment horizontal="center"/>
      <protection locked="0"/>
    </xf>
    <xf numFmtId="0" fontId="117" fillId="32" borderId="87" xfId="0" applyFont="1" applyFill="1" applyBorder="1" applyAlignment="1" applyProtection="1">
      <alignment horizontal="center" vertical="center" wrapText="1"/>
      <protection locked="0"/>
    </xf>
    <xf numFmtId="0" fontId="112" fillId="32" borderId="87" xfId="0" applyFont="1" applyFill="1" applyBorder="1" applyProtection="1">
      <protection locked="0"/>
    </xf>
    <xf numFmtId="0" fontId="113" fillId="32" borderId="87" xfId="0" applyFont="1" applyFill="1" applyBorder="1" applyAlignment="1" applyProtection="1">
      <alignment horizontal="left" vertical="center"/>
      <protection locked="0"/>
    </xf>
    <xf numFmtId="0" fontId="113" fillId="32" borderId="87" xfId="0" applyFont="1" applyFill="1" applyBorder="1" applyAlignment="1" applyProtection="1">
      <alignment horizontal="center" vertical="center" wrapText="1"/>
      <protection locked="0"/>
    </xf>
    <xf numFmtId="0" fontId="113" fillId="32" borderId="123" xfId="0" applyFont="1" applyFill="1" applyBorder="1" applyAlignment="1" applyProtection="1">
      <alignment horizontal="center" vertical="center" wrapText="1"/>
      <protection locked="0"/>
    </xf>
    <xf numFmtId="164" fontId="112" fillId="75" borderId="87" xfId="0" applyNumberFormat="1" applyFont="1" applyFill="1" applyBorder="1" applyAlignment="1" applyProtection="1">
      <alignment horizontal="center" vertical="center"/>
      <protection locked="0"/>
    </xf>
    <xf numFmtId="0" fontId="118" fillId="75" borderId="87" xfId="0" applyFont="1" applyFill="1" applyBorder="1" applyAlignment="1" applyProtection="1">
      <alignment horizontal="center" vertical="center" wrapText="1"/>
      <protection locked="0"/>
    </xf>
    <xf numFmtId="0" fontId="113" fillId="74" borderId="87" xfId="0" applyFont="1" applyFill="1" applyBorder="1" applyAlignment="1" applyProtection="1">
      <alignment horizontal="center" vertical="center"/>
      <protection locked="0"/>
    </xf>
    <xf numFmtId="0" fontId="113" fillId="74" borderId="122" xfId="0" applyFont="1" applyFill="1" applyBorder="1" applyAlignment="1" applyProtection="1">
      <alignment horizontal="center" vertical="center"/>
      <protection locked="0"/>
    </xf>
    <xf numFmtId="0" fontId="102" fillId="67" borderId="87" xfId="0" applyFont="1" applyFill="1" applyBorder="1" applyAlignment="1" applyProtection="1">
      <alignment horizontal="center" vertical="center" wrapText="1"/>
      <protection locked="0"/>
    </xf>
    <xf numFmtId="0" fontId="112" fillId="29" borderId="0" xfId="0" applyFont="1" applyFill="1" applyAlignment="1" applyProtection="1">
      <alignment vertical="center"/>
      <protection locked="0"/>
    </xf>
    <xf numFmtId="3" fontId="112" fillId="75" borderId="87" xfId="0" applyNumberFormat="1" applyFont="1" applyFill="1" applyBorder="1" applyAlignment="1" applyProtection="1">
      <alignment horizontal="center" vertical="center" wrapText="1"/>
      <protection locked="0"/>
    </xf>
    <xf numFmtId="0" fontId="113" fillId="74" borderId="87" xfId="0" applyFont="1" applyFill="1" applyBorder="1" applyAlignment="1" applyProtection="1">
      <alignment horizontal="center" vertical="center" wrapText="1"/>
      <protection locked="0"/>
    </xf>
    <xf numFmtId="0" fontId="94" fillId="63" borderId="87" xfId="0" applyFont="1" applyFill="1" applyBorder="1" applyAlignment="1">
      <alignment horizontal="left" vertical="center" wrapText="1"/>
    </xf>
    <xf numFmtId="0" fontId="83" fillId="63" borderId="87" xfId="0" applyFont="1" applyFill="1" applyBorder="1" applyAlignment="1">
      <alignment horizontal="left" vertical="center" wrapText="1"/>
    </xf>
    <xf numFmtId="0" fontId="83" fillId="63" borderId="102" xfId="0" applyFont="1" applyFill="1" applyBorder="1" applyAlignment="1" applyProtection="1">
      <alignment horizontal="left" vertical="center" wrapText="1"/>
      <protection locked="0"/>
    </xf>
    <xf numFmtId="0" fontId="94" fillId="63" borderId="87" xfId="0" applyFont="1" applyFill="1" applyBorder="1" applyAlignment="1" applyProtection="1">
      <alignment horizontal="left" vertical="center" wrapText="1"/>
      <protection locked="0"/>
    </xf>
    <xf numFmtId="0" fontId="83" fillId="63" borderId="118" xfId="0" applyFont="1" applyFill="1" applyBorder="1" applyAlignment="1" applyProtection="1">
      <alignment vertical="top" wrapText="1"/>
      <protection locked="0"/>
    </xf>
    <xf numFmtId="0" fontId="83" fillId="63" borderId="91" xfId="0" applyFont="1" applyFill="1" applyBorder="1" applyAlignment="1" applyProtection="1">
      <alignment vertical="top" wrapText="1"/>
      <protection locked="0"/>
    </xf>
    <xf numFmtId="0" fontId="84" fillId="63" borderId="71" xfId="0" applyFont="1" applyFill="1" applyBorder="1" applyAlignment="1" applyProtection="1">
      <alignment horizontal="left" vertical="top" wrapText="1"/>
      <protection locked="0"/>
    </xf>
    <xf numFmtId="0" fontId="84" fillId="63" borderId="120" xfId="0" applyFont="1" applyFill="1" applyBorder="1" applyAlignment="1" applyProtection="1">
      <alignment horizontal="left" vertical="center" wrapText="1"/>
      <protection locked="0"/>
    </xf>
    <xf numFmtId="0" fontId="84" fillId="63" borderId="124" xfId="0" applyFont="1" applyFill="1" applyBorder="1" applyAlignment="1" applyProtection="1">
      <alignment horizontal="left" vertical="center" wrapText="1"/>
      <protection locked="0"/>
    </xf>
    <xf numFmtId="0" fontId="83" fillId="63" borderId="120" xfId="0" applyFont="1" applyFill="1" applyBorder="1" applyAlignment="1" applyProtection="1">
      <alignment horizontal="left" vertical="center" wrapText="1"/>
      <protection locked="0"/>
    </xf>
    <xf numFmtId="0" fontId="85" fillId="63" borderId="87" xfId="0" applyFont="1" applyFill="1" applyBorder="1" applyAlignment="1" applyProtection="1">
      <alignment horizontal="left" vertical="center" wrapText="1"/>
      <protection locked="0"/>
    </xf>
    <xf numFmtId="0" fontId="84" fillId="63" borderId="100" xfId="0" applyFont="1" applyFill="1" applyBorder="1" applyAlignment="1">
      <alignment vertical="top" wrapText="1"/>
    </xf>
    <xf numFmtId="0" fontId="94" fillId="63" borderId="71" xfId="0" applyFont="1" applyFill="1" applyBorder="1" applyAlignment="1" applyProtection="1">
      <alignment horizontal="left" vertical="center" wrapText="1"/>
      <protection locked="0"/>
    </xf>
    <xf numFmtId="0" fontId="84" fillId="63" borderId="90" xfId="0" applyFont="1" applyFill="1" applyBorder="1" applyAlignment="1" applyProtection="1">
      <alignment horizontal="left" vertical="center" wrapText="1"/>
      <protection locked="0"/>
    </xf>
    <xf numFmtId="0" fontId="83" fillId="63" borderId="112" xfId="0" applyFont="1" applyFill="1" applyBorder="1" applyAlignment="1" applyProtection="1">
      <alignment horizontal="left" vertical="center" wrapText="1"/>
      <protection locked="0"/>
    </xf>
    <xf numFmtId="0" fontId="120" fillId="75" borderId="87" xfId="0" applyFont="1" applyFill="1" applyBorder="1" applyAlignment="1" applyProtection="1">
      <alignment horizontal="center" vertical="center" wrapText="1"/>
      <protection locked="0"/>
    </xf>
    <xf numFmtId="0" fontId="119" fillId="75" borderId="87" xfId="0" applyFont="1" applyFill="1" applyBorder="1" applyAlignment="1" applyProtection="1">
      <alignment horizontal="left" vertical="center" wrapText="1"/>
      <protection locked="0"/>
    </xf>
    <xf numFmtId="1" fontId="113" fillId="74" borderId="87" xfId="0" applyNumberFormat="1" applyFont="1" applyFill="1" applyBorder="1" applyAlignment="1" applyProtection="1">
      <alignment horizontal="center" vertical="center"/>
      <protection locked="0"/>
    </xf>
    <xf numFmtId="165" fontId="100" fillId="74" borderId="122" xfId="0" applyNumberFormat="1" applyFont="1" applyFill="1" applyBorder="1" applyAlignment="1" applyProtection="1">
      <alignment horizontal="center" vertical="center"/>
      <protection locked="0"/>
    </xf>
    <xf numFmtId="0" fontId="114" fillId="75" borderId="87" xfId="0" applyFont="1" applyFill="1" applyBorder="1" applyAlignment="1" applyProtection="1">
      <alignment horizontal="left" vertical="center" wrapText="1"/>
      <protection locked="0"/>
    </xf>
    <xf numFmtId="0" fontId="118" fillId="70" borderId="87" xfId="0" applyFont="1" applyFill="1" applyBorder="1" applyAlignment="1" applyProtection="1">
      <alignment horizontal="center" vertical="center" wrapText="1"/>
      <protection locked="0"/>
    </xf>
    <xf numFmtId="0" fontId="113" fillId="75" borderId="87" xfId="0" applyFont="1" applyFill="1" applyBorder="1" applyAlignment="1" applyProtection="1">
      <alignment horizontal="left" vertical="center" wrapText="1"/>
      <protection locked="0"/>
    </xf>
    <xf numFmtId="0" fontId="113" fillId="74" borderId="122" xfId="144" applyNumberFormat="1" applyFont="1" applyFill="1" applyBorder="1" applyAlignment="1" applyProtection="1">
      <alignment horizontal="center" vertical="center"/>
      <protection locked="0"/>
    </xf>
    <xf numFmtId="2" fontId="100" fillId="74" borderId="122" xfId="0" applyNumberFormat="1" applyFont="1" applyFill="1" applyBorder="1" applyAlignment="1" applyProtection="1">
      <alignment horizontal="center" vertical="center"/>
      <protection locked="0"/>
    </xf>
    <xf numFmtId="3" fontId="99" fillId="75" borderId="87" xfId="0" applyNumberFormat="1" applyFont="1" applyFill="1" applyBorder="1" applyAlignment="1" applyProtection="1">
      <alignment horizontal="center" vertical="center" wrapText="1"/>
      <protection locked="0"/>
    </xf>
    <xf numFmtId="0" fontId="107" fillId="32" borderId="86" xfId="0" applyFont="1" applyFill="1" applyBorder="1" applyAlignment="1" applyProtection="1">
      <alignment vertical="center"/>
      <protection locked="0"/>
    </xf>
    <xf numFmtId="0" fontId="121" fillId="0" borderId="0" xfId="0" applyFont="1"/>
    <xf numFmtId="0" fontId="0" fillId="0" borderId="0" xfId="0" applyAlignment="1">
      <alignment wrapText="1"/>
    </xf>
    <xf numFmtId="0" fontId="98" fillId="0" borderId="0" xfId="0" applyFont="1"/>
    <xf numFmtId="49" fontId="122" fillId="76" borderId="0" xfId="0" applyNumberFormat="1" applyFont="1" applyFill="1" applyAlignment="1" applyProtection="1">
      <alignment horizontal="center" vertical="center" wrapText="1"/>
      <protection locked="0"/>
    </xf>
    <xf numFmtId="14" fontId="122" fillId="76" borderId="0" xfId="0" applyNumberFormat="1" applyFont="1" applyFill="1" applyAlignment="1" applyProtection="1">
      <alignment horizontal="center" vertical="center" wrapText="1"/>
      <protection locked="0"/>
    </xf>
    <xf numFmtId="164" fontId="122" fillId="76" borderId="0" xfId="0" applyNumberFormat="1" applyFont="1" applyFill="1" applyAlignment="1" applyProtection="1">
      <alignment horizontal="center" vertical="center" wrapText="1"/>
      <protection locked="0"/>
    </xf>
    <xf numFmtId="164" fontId="122" fillId="76" borderId="0" xfId="0" applyNumberFormat="1" applyFont="1" applyFill="1" applyAlignment="1" applyProtection="1">
      <alignment horizontal="center" vertical="center"/>
      <protection locked="0"/>
    </xf>
    <xf numFmtId="0" fontId="122" fillId="76" borderId="0" xfId="0" applyFont="1" applyFill="1" applyAlignment="1" applyProtection="1">
      <alignment horizontal="center" vertical="center" wrapText="1"/>
      <protection locked="0"/>
    </xf>
    <xf numFmtId="0" fontId="123" fillId="76" borderId="0" xfId="0" applyFont="1" applyFill="1" applyAlignment="1" applyProtection="1">
      <alignment horizontal="left" vertical="center" wrapText="1"/>
      <protection locked="0"/>
    </xf>
    <xf numFmtId="0" fontId="123" fillId="76" borderId="0" xfId="0" applyFont="1" applyFill="1" applyAlignment="1" applyProtection="1">
      <alignment horizontal="center" vertical="center"/>
      <protection locked="0"/>
    </xf>
    <xf numFmtId="0" fontId="102" fillId="32" borderId="123" xfId="0" applyFont="1" applyFill="1" applyBorder="1" applyAlignment="1" applyProtection="1">
      <alignment horizontal="center" vertical="center" wrapText="1"/>
      <protection locked="0"/>
    </xf>
    <xf numFmtId="49" fontId="102" fillId="29" borderId="0" xfId="0" applyNumberFormat="1" applyFont="1" applyFill="1" applyAlignment="1" applyProtection="1">
      <alignment horizontal="center" vertical="center" wrapText="1"/>
      <protection locked="0"/>
    </xf>
    <xf numFmtId="0" fontId="124" fillId="0" borderId="0" xfId="0" applyFont="1"/>
    <xf numFmtId="164" fontId="125" fillId="76" borderId="0" xfId="0" applyNumberFormat="1" applyFont="1" applyFill="1" applyAlignment="1" applyProtection="1">
      <alignment horizontal="center" vertical="center" wrapText="1"/>
      <protection locked="0"/>
    </xf>
    <xf numFmtId="0" fontId="125" fillId="76" borderId="0" xfId="0" applyFont="1" applyFill="1" applyAlignment="1" applyProtection="1">
      <alignment horizontal="center" vertical="center" wrapText="1"/>
      <protection locked="0"/>
    </xf>
    <xf numFmtId="3" fontId="118" fillId="75" borderId="87" xfId="0" applyNumberFormat="1" applyFont="1" applyFill="1" applyBorder="1" applyAlignment="1" applyProtection="1">
      <alignment horizontal="center" vertical="center" wrapText="1"/>
      <protection locked="0"/>
    </xf>
    <xf numFmtId="0" fontId="102" fillId="36" borderId="0" xfId="0" applyFont="1" applyFill="1" applyAlignment="1" applyProtection="1">
      <alignment vertical="center"/>
      <protection locked="0"/>
    </xf>
    <xf numFmtId="0" fontId="112" fillId="75" borderId="92" xfId="0" applyFont="1" applyFill="1" applyBorder="1" applyAlignment="1" applyProtection="1">
      <alignment horizontal="center" vertical="center" wrapText="1"/>
      <protection locked="0"/>
    </xf>
    <xf numFmtId="0" fontId="112" fillId="75" borderId="72" xfId="0" applyFont="1" applyFill="1" applyBorder="1" applyAlignment="1" applyProtection="1">
      <alignment horizontal="center" vertical="center" wrapText="1"/>
      <protection locked="0"/>
    </xf>
    <xf numFmtId="0" fontId="115" fillId="75" borderId="0" xfId="0" applyFont="1" applyFill="1" applyAlignment="1">
      <alignment vertical="top" wrapText="1"/>
    </xf>
    <xf numFmtId="0" fontId="115" fillId="75" borderId="87" xfId="0" applyFont="1" applyFill="1" applyBorder="1" applyAlignment="1">
      <alignment vertical="center" wrapText="1"/>
    </xf>
    <xf numFmtId="0" fontId="120" fillId="75" borderId="123" xfId="0" applyFont="1" applyFill="1" applyBorder="1" applyAlignment="1" applyProtection="1">
      <alignment horizontal="center" vertical="center" wrapText="1"/>
      <protection locked="0"/>
    </xf>
    <xf numFmtId="0" fontId="115" fillId="75" borderId="0" xfId="0" applyFont="1" applyFill="1" applyAlignment="1">
      <alignment horizontal="left" vertical="center" wrapText="1"/>
    </xf>
    <xf numFmtId="0" fontId="104" fillId="75" borderId="87" xfId="0" applyFont="1" applyFill="1" applyBorder="1" applyAlignment="1">
      <alignment vertical="center" wrapText="1"/>
    </xf>
    <xf numFmtId="0" fontId="126" fillId="75" borderId="87" xfId="0" applyFont="1" applyFill="1" applyBorder="1" applyAlignment="1" applyProtection="1">
      <alignment horizontal="left" vertical="center" wrapText="1"/>
      <protection locked="0"/>
    </xf>
    <xf numFmtId="0" fontId="128" fillId="75" borderId="87" xfId="0" applyFont="1" applyFill="1" applyBorder="1" applyAlignment="1" applyProtection="1">
      <alignment horizontal="left" vertical="center" wrapText="1"/>
      <protection locked="0"/>
    </xf>
    <xf numFmtId="0" fontId="126" fillId="75" borderId="87" xfId="0" applyFont="1" applyFill="1" applyBorder="1" applyAlignment="1" applyProtection="1">
      <alignment vertical="center" wrapText="1"/>
      <protection locked="0"/>
    </xf>
    <xf numFmtId="0" fontId="129" fillId="75" borderId="87" xfId="0" applyFont="1" applyFill="1" applyBorder="1" applyAlignment="1">
      <alignment vertical="center" wrapText="1"/>
    </xf>
    <xf numFmtId="0" fontId="103" fillId="32" borderId="87" xfId="0" applyFont="1" applyFill="1" applyBorder="1" applyAlignment="1" applyProtection="1">
      <alignment vertical="center" wrapText="1"/>
      <protection locked="0"/>
    </xf>
    <xf numFmtId="0" fontId="112" fillId="77" borderId="87" xfId="0" applyFont="1" applyFill="1" applyBorder="1" applyAlignment="1" applyProtection="1">
      <alignment horizontal="center" vertical="center" wrapText="1"/>
      <protection locked="0"/>
    </xf>
    <xf numFmtId="0" fontId="102" fillId="77" borderId="87" xfId="0" applyFont="1" applyFill="1" applyBorder="1" applyAlignment="1" applyProtection="1">
      <alignment horizontal="center" vertical="center" wrapText="1"/>
      <protection locked="0"/>
    </xf>
    <xf numFmtId="0" fontId="129" fillId="75" borderId="0" xfId="0" applyFont="1" applyFill="1" applyAlignment="1">
      <alignment vertical="top" wrapText="1"/>
    </xf>
    <xf numFmtId="0" fontId="128" fillId="75" borderId="87" xfId="0" applyFont="1" applyFill="1" applyBorder="1" applyAlignment="1">
      <alignment vertical="center" wrapText="1"/>
    </xf>
    <xf numFmtId="0" fontId="126" fillId="75" borderId="87" xfId="0" applyFont="1" applyFill="1" applyBorder="1" applyAlignment="1">
      <alignment vertical="center" wrapText="1"/>
    </xf>
    <xf numFmtId="0" fontId="128" fillId="75" borderId="87" xfId="0" applyFont="1" applyFill="1" applyBorder="1" applyAlignment="1" applyProtection="1">
      <alignment vertical="center" wrapText="1"/>
      <protection locked="0"/>
    </xf>
    <xf numFmtId="0" fontId="128" fillId="75" borderId="87" xfId="0" applyFont="1" applyFill="1" applyBorder="1" applyAlignment="1">
      <alignment horizontal="left" vertical="center" wrapText="1"/>
    </xf>
    <xf numFmtId="0" fontId="102" fillId="36" borderId="87" xfId="0" applyFont="1" applyFill="1" applyBorder="1" applyAlignment="1" applyProtection="1">
      <alignment horizontal="center" vertical="center" wrapText="1"/>
      <protection locked="0"/>
    </xf>
    <xf numFmtId="0" fontId="114" fillId="75" borderId="87" xfId="0" applyFont="1" applyFill="1" applyBorder="1" applyAlignment="1">
      <alignment vertical="center" wrapText="1"/>
    </xf>
    <xf numFmtId="0" fontId="102" fillId="78" borderId="87" xfId="0" applyFont="1" applyFill="1" applyBorder="1" applyAlignment="1" applyProtection="1">
      <alignment horizontal="center" vertical="center" wrapText="1"/>
      <protection locked="0"/>
    </xf>
    <xf numFmtId="0" fontId="135" fillId="81" borderId="0" xfId="0" applyFont="1" applyFill="1"/>
    <xf numFmtId="0" fontId="132" fillId="79" borderId="174" xfId="0" applyFont="1" applyFill="1" applyBorder="1" applyAlignment="1">
      <alignment horizontal="left"/>
    </xf>
    <xf numFmtId="0" fontId="133" fillId="82" borderId="175" xfId="0" applyFont="1" applyFill="1" applyBorder="1" applyAlignment="1">
      <alignment horizontal="left"/>
    </xf>
    <xf numFmtId="0" fontId="135" fillId="81" borderId="176" xfId="0" applyFont="1" applyFill="1" applyBorder="1"/>
    <xf numFmtId="0" fontId="132" fillId="79" borderId="178" xfId="0" applyFont="1" applyFill="1" applyBorder="1" applyAlignment="1">
      <alignment horizontal="left"/>
    </xf>
    <xf numFmtId="3" fontId="134" fillId="82" borderId="179" xfId="0" applyNumberFormat="1" applyFont="1" applyFill="1" applyBorder="1" applyAlignment="1">
      <alignment horizontal="center"/>
    </xf>
    <xf numFmtId="0" fontId="135" fillId="81" borderId="180" xfId="0" applyFont="1" applyFill="1" applyBorder="1"/>
    <xf numFmtId="0" fontId="133" fillId="82" borderId="176" xfId="0" applyFont="1" applyFill="1" applyBorder="1" applyAlignment="1">
      <alignment horizontal="left"/>
    </xf>
    <xf numFmtId="3" fontId="134" fillId="82" borderId="180" xfId="0" applyNumberFormat="1" applyFont="1" applyFill="1" applyBorder="1" applyAlignment="1">
      <alignment horizontal="center"/>
    </xf>
    <xf numFmtId="0" fontId="132" fillId="79" borderId="177" xfId="0" applyFont="1" applyFill="1" applyBorder="1" applyAlignment="1">
      <alignment horizontal="left"/>
    </xf>
    <xf numFmtId="0" fontId="132" fillId="79" borderId="177" xfId="0" applyFont="1" applyFill="1" applyBorder="1" applyAlignment="1">
      <alignment horizontal="center"/>
    </xf>
    <xf numFmtId="0" fontId="136" fillId="81" borderId="177" xfId="0" applyFont="1" applyFill="1" applyBorder="1" applyAlignment="1">
      <alignment horizontal="left" indent="1"/>
    </xf>
    <xf numFmtId="0" fontId="136" fillId="82" borderId="177" xfId="0" applyFont="1" applyFill="1" applyBorder="1" applyAlignment="1">
      <alignment horizontal="left" indent="1"/>
    </xf>
    <xf numFmtId="0" fontId="133" fillId="83" borderId="181" xfId="0" applyFont="1" applyFill="1" applyBorder="1" applyAlignment="1">
      <alignment horizontal="left"/>
    </xf>
    <xf numFmtId="0" fontId="132" fillId="81" borderId="176" xfId="0" applyFont="1" applyFill="1" applyBorder="1" applyAlignment="1">
      <alignment horizontal="left"/>
    </xf>
    <xf numFmtId="0" fontId="132" fillId="81" borderId="180" xfId="0" applyFont="1" applyFill="1" applyBorder="1" applyAlignment="1">
      <alignment horizontal="left"/>
    </xf>
    <xf numFmtId="0" fontId="133" fillId="82" borderId="176" xfId="0" applyFont="1" applyFill="1" applyBorder="1" applyAlignment="1">
      <alignment horizontal="left" vertical="center"/>
    </xf>
    <xf numFmtId="3" fontId="134" fillId="82" borderId="180" xfId="0" applyNumberFormat="1" applyFont="1" applyFill="1" applyBorder="1" applyAlignment="1">
      <alignment horizontal="center" vertical="center"/>
    </xf>
    <xf numFmtId="0" fontId="133" fillId="81" borderId="173" xfId="0" applyFont="1" applyFill="1" applyBorder="1" applyAlignment="1">
      <alignment horizontal="left" vertical="center"/>
    </xf>
    <xf numFmtId="3" fontId="134" fillId="81" borderId="182" xfId="0" applyNumberFormat="1" applyFont="1" applyFill="1" applyBorder="1" applyAlignment="1">
      <alignment horizontal="center" vertical="center"/>
    </xf>
    <xf numFmtId="0" fontId="133" fillId="81" borderId="0" xfId="0" applyFont="1" applyFill="1" applyAlignment="1">
      <alignment horizontal="left" vertical="center"/>
    </xf>
    <xf numFmtId="3" fontId="134" fillId="81" borderId="0" xfId="0" applyNumberFormat="1" applyFont="1" applyFill="1" applyAlignment="1">
      <alignment horizontal="center" vertical="center"/>
    </xf>
    <xf numFmtId="0" fontId="133" fillId="81" borderId="172" xfId="0" applyFont="1" applyFill="1" applyBorder="1" applyAlignment="1">
      <alignment horizontal="left"/>
    </xf>
    <xf numFmtId="0" fontId="133" fillId="81" borderId="172" xfId="0" applyFont="1" applyFill="1" applyBorder="1" applyAlignment="1">
      <alignment horizontal="center"/>
    </xf>
    <xf numFmtId="0" fontId="136" fillId="81" borderId="0" xfId="0" applyFont="1" applyFill="1" applyAlignment="1">
      <alignment horizontal="left" wrapText="1"/>
    </xf>
    <xf numFmtId="0" fontId="0" fillId="81" borderId="0" xfId="0" applyFill="1" applyAlignment="1">
      <alignment wrapText="1"/>
    </xf>
    <xf numFmtId="0" fontId="132" fillId="79" borderId="0" xfId="0" applyFont="1" applyFill="1" applyAlignment="1">
      <alignment horizontal="left" wrapText="1"/>
    </xf>
    <xf numFmtId="0" fontId="137" fillId="80" borderId="0" xfId="0" applyFont="1" applyFill="1" applyAlignment="1">
      <alignment horizontal="left" wrapText="1"/>
    </xf>
    <xf numFmtId="0" fontId="136" fillId="82" borderId="0" xfId="0" applyFont="1" applyFill="1" applyAlignment="1">
      <alignment horizontal="left" wrapText="1"/>
    </xf>
    <xf numFmtId="0" fontId="136" fillId="81" borderId="183" xfId="0" applyFont="1" applyFill="1" applyBorder="1" applyAlignment="1">
      <alignment horizontal="left" indent="1"/>
    </xf>
    <xf numFmtId="0" fontId="136" fillId="81" borderId="177" xfId="0" applyFont="1" applyFill="1" applyBorder="1" applyAlignment="1">
      <alignment horizontal="center"/>
    </xf>
    <xf numFmtId="0" fontId="136" fillId="82" borderId="177" xfId="0" applyFont="1" applyFill="1" applyBorder="1" applyAlignment="1">
      <alignment horizontal="center"/>
    </xf>
    <xf numFmtId="0" fontId="133" fillId="83" borderId="181" xfId="0" applyFont="1" applyFill="1" applyBorder="1" applyAlignment="1">
      <alignment horizontal="center"/>
    </xf>
    <xf numFmtId="0" fontId="136" fillId="81" borderId="183" xfId="0" applyFont="1" applyFill="1" applyBorder="1" applyAlignment="1">
      <alignment horizontal="center"/>
    </xf>
    <xf numFmtId="0" fontId="0" fillId="0" borderId="0" xfId="0" applyAlignment="1">
      <alignment horizontal="center"/>
    </xf>
    <xf numFmtId="0" fontId="0" fillId="35" borderId="11" xfId="0" applyFill="1" applyBorder="1" applyAlignment="1">
      <alignment horizontal="center"/>
    </xf>
    <xf numFmtId="0" fontId="0" fillId="36" borderId="0" xfId="0" applyFill="1" applyAlignment="1">
      <alignment horizontal="center" vertical="center"/>
    </xf>
    <xf numFmtId="0" fontId="0" fillId="0" borderId="0" xfId="0" applyAlignment="1">
      <alignment horizontal="center" vertical="center"/>
    </xf>
    <xf numFmtId="0" fontId="27" fillId="37" borderId="0" xfId="0" applyFont="1" applyFill="1" applyAlignment="1">
      <alignment horizontal="center" vertical="center"/>
    </xf>
    <xf numFmtId="0" fontId="27" fillId="66" borderId="0" xfId="0" applyFont="1" applyFill="1" applyAlignment="1">
      <alignment horizontal="center" vertical="center"/>
    </xf>
    <xf numFmtId="0" fontId="62" fillId="25" borderId="155" xfId="0" applyFont="1" applyFill="1" applyBorder="1" applyAlignment="1" applyProtection="1">
      <alignment horizontal="left" vertical="center" wrapText="1"/>
      <protection locked="0"/>
    </xf>
    <xf numFmtId="0" fontId="62" fillId="25" borderId="14" xfId="0" applyFont="1" applyFill="1" applyBorder="1" applyAlignment="1" applyProtection="1">
      <alignment horizontal="left" vertical="center" wrapText="1"/>
      <protection locked="0"/>
    </xf>
    <xf numFmtId="0" fontId="62" fillId="25" borderId="15" xfId="0" applyFont="1" applyFill="1" applyBorder="1" applyAlignment="1" applyProtection="1">
      <alignment horizontal="left" vertical="center" wrapText="1"/>
      <protection locked="0"/>
    </xf>
    <xf numFmtId="0" fontId="62" fillId="25" borderId="157" xfId="0" applyFont="1" applyFill="1" applyBorder="1" applyAlignment="1" applyProtection="1">
      <alignment horizontal="left" vertical="center" wrapText="1"/>
      <protection locked="0"/>
    </xf>
    <xf numFmtId="0" fontId="62" fillId="25" borderId="132" xfId="0" applyFont="1" applyFill="1" applyBorder="1" applyAlignment="1" applyProtection="1">
      <alignment horizontal="left" vertical="center" wrapText="1"/>
      <protection locked="0"/>
    </xf>
    <xf numFmtId="0" fontId="62" fillId="25" borderId="113" xfId="0" applyFont="1" applyFill="1" applyBorder="1" applyAlignment="1" applyProtection="1">
      <alignment horizontal="left" vertical="center" wrapText="1"/>
      <protection locked="0"/>
    </xf>
    <xf numFmtId="0" fontId="62" fillId="25" borderId="101" xfId="0" applyFont="1" applyFill="1" applyBorder="1" applyAlignment="1" applyProtection="1">
      <alignment horizontal="left" vertical="center" wrapText="1"/>
      <protection locked="0"/>
    </xf>
    <xf numFmtId="0" fontId="62" fillId="25" borderId="103" xfId="0" applyFont="1" applyFill="1" applyBorder="1" applyAlignment="1" applyProtection="1">
      <alignment horizontal="left" vertical="center" wrapText="1"/>
      <protection locked="0"/>
    </xf>
    <xf numFmtId="0" fontId="62" fillId="25" borderId="100" xfId="0" applyFont="1" applyFill="1" applyBorder="1" applyAlignment="1" applyProtection="1">
      <alignment horizontal="left" vertical="center" wrapText="1"/>
      <protection locked="0"/>
    </xf>
    <xf numFmtId="0" fontId="62" fillId="25" borderId="156" xfId="0" applyFont="1" applyFill="1" applyBorder="1" applyAlignment="1" applyProtection="1">
      <alignment horizontal="left" vertical="center" wrapText="1"/>
      <protection locked="0"/>
    </xf>
    <xf numFmtId="0" fontId="62" fillId="25" borderId="140" xfId="0" applyFont="1" applyFill="1" applyBorder="1" applyAlignment="1" applyProtection="1">
      <alignment horizontal="left" vertical="center" wrapText="1"/>
      <protection locked="0"/>
    </xf>
    <xf numFmtId="0" fontId="62" fillId="25" borderId="141" xfId="0" applyFont="1" applyFill="1" applyBorder="1" applyAlignment="1" applyProtection="1">
      <alignment horizontal="left" vertical="center" wrapText="1"/>
      <protection locked="0"/>
    </xf>
    <xf numFmtId="0" fontId="62" fillId="25" borderId="145" xfId="0" applyFont="1" applyFill="1" applyBorder="1" applyAlignment="1" applyProtection="1">
      <alignment horizontal="left" vertical="center" wrapText="1"/>
      <protection locked="0"/>
    </xf>
    <xf numFmtId="0" fontId="62" fillId="25" borderId="8" xfId="0" applyFont="1" applyFill="1" applyBorder="1" applyAlignment="1" applyProtection="1">
      <alignment horizontal="left" vertical="center" wrapText="1"/>
      <protection locked="0"/>
    </xf>
    <xf numFmtId="0" fontId="62" fillId="25" borderId="17" xfId="0" applyFont="1" applyFill="1" applyBorder="1" applyAlignment="1" applyProtection="1">
      <alignment horizontal="left" vertical="center" wrapText="1"/>
      <protection locked="0"/>
    </xf>
    <xf numFmtId="0" fontId="93" fillId="25" borderId="59" xfId="0" applyFont="1" applyFill="1" applyBorder="1" applyAlignment="1" applyProtection="1">
      <alignment horizontal="left" vertical="center" wrapText="1"/>
      <protection locked="0"/>
    </xf>
    <xf numFmtId="0" fontId="93" fillId="25" borderId="12" xfId="0" applyFont="1" applyFill="1" applyBorder="1" applyAlignment="1" applyProtection="1">
      <alignment horizontal="left" vertical="center" wrapText="1"/>
      <protection locked="0"/>
    </xf>
    <xf numFmtId="0" fontId="93" fillId="25" borderId="27" xfId="0" applyFont="1" applyFill="1" applyBorder="1" applyAlignment="1" applyProtection="1">
      <alignment horizontal="left" vertical="center" wrapText="1"/>
      <protection locked="0"/>
    </xf>
    <xf numFmtId="0" fontId="62" fillId="25" borderId="111" xfId="0" applyFont="1" applyFill="1" applyBorder="1" applyAlignment="1" applyProtection="1">
      <alignment horizontal="left" vertical="center" wrapText="1"/>
      <protection locked="0"/>
    </xf>
    <xf numFmtId="0" fontId="62" fillId="25" borderId="136" xfId="0" applyFont="1" applyFill="1" applyBorder="1" applyAlignment="1" applyProtection="1">
      <alignment horizontal="left" vertical="center" wrapText="1"/>
      <protection locked="0"/>
    </xf>
    <xf numFmtId="0" fontId="62" fillId="25" borderId="112" xfId="0" applyFont="1" applyFill="1" applyBorder="1" applyAlignment="1" applyProtection="1">
      <alignment horizontal="left" vertical="center" wrapText="1"/>
      <protection locked="0"/>
    </xf>
    <xf numFmtId="0" fontId="93" fillId="25" borderId="21" xfId="0" applyFont="1" applyFill="1" applyBorder="1" applyAlignment="1" applyProtection="1">
      <alignment horizontal="left" vertical="center" wrapText="1"/>
      <protection locked="0"/>
    </xf>
    <xf numFmtId="0" fontId="93" fillId="25" borderId="35" xfId="0" applyFont="1" applyFill="1" applyBorder="1" applyAlignment="1" applyProtection="1">
      <alignment horizontal="left" vertical="center" wrapText="1"/>
      <protection locked="0"/>
    </xf>
    <xf numFmtId="0" fontId="93" fillId="25" borderId="45" xfId="0" applyFont="1" applyFill="1" applyBorder="1" applyAlignment="1" applyProtection="1">
      <alignment horizontal="left" vertical="center" wrapText="1"/>
      <protection locked="0"/>
    </xf>
    <xf numFmtId="0" fontId="62" fillId="25" borderId="73" xfId="0" applyFont="1" applyFill="1" applyBorder="1" applyAlignment="1" applyProtection="1">
      <alignment horizontal="left" vertical="center" wrapText="1"/>
      <protection locked="0"/>
    </xf>
    <xf numFmtId="0" fontId="62" fillId="25" borderId="0" xfId="0" applyFont="1" applyFill="1" applyAlignment="1" applyProtection="1">
      <alignment horizontal="left" vertical="center" wrapText="1"/>
      <protection locked="0"/>
    </xf>
    <xf numFmtId="0" fontId="62" fillId="25" borderId="102" xfId="0" applyFont="1" applyFill="1" applyBorder="1" applyAlignment="1" applyProtection="1">
      <alignment horizontal="left" vertical="center" wrapText="1"/>
      <protection locked="0"/>
    </xf>
    <xf numFmtId="0" fontId="22" fillId="26" borderId="14" xfId="0" applyFont="1" applyFill="1" applyBorder="1" applyAlignment="1" applyProtection="1">
      <alignment horizontal="center" vertical="center" wrapText="1"/>
      <protection locked="0"/>
    </xf>
    <xf numFmtId="0" fontId="62" fillId="25" borderId="96" xfId="0" applyFont="1" applyFill="1" applyBorder="1" applyAlignment="1" applyProtection="1">
      <alignment horizontal="left" vertical="center" wrapText="1"/>
      <protection locked="0"/>
    </xf>
    <xf numFmtId="0" fontId="62" fillId="25" borderId="131" xfId="0" applyFont="1" applyFill="1" applyBorder="1" applyAlignment="1" applyProtection="1">
      <alignment horizontal="left" vertical="center" wrapText="1"/>
      <protection locked="0"/>
    </xf>
    <xf numFmtId="0" fontId="62" fillId="25" borderId="118" xfId="0" applyFont="1" applyFill="1" applyBorder="1" applyAlignment="1" applyProtection="1">
      <alignment horizontal="left" vertical="center" wrapText="1"/>
      <protection locked="0"/>
    </xf>
    <xf numFmtId="0" fontId="62" fillId="25" borderId="170" xfId="0" applyFont="1" applyFill="1" applyBorder="1" applyAlignment="1" applyProtection="1">
      <alignment horizontal="left" vertical="center" wrapText="1"/>
      <protection locked="0"/>
    </xf>
    <xf numFmtId="0" fontId="62" fillId="25" borderId="168" xfId="0" applyFont="1" applyFill="1" applyBorder="1" applyAlignment="1" applyProtection="1">
      <alignment horizontal="left" vertical="center" wrapText="1"/>
      <protection locked="0"/>
    </xf>
    <xf numFmtId="0" fontId="62" fillId="25" borderId="171" xfId="0" applyFont="1" applyFill="1" applyBorder="1" applyAlignment="1" applyProtection="1">
      <alignment horizontal="left" vertical="center" wrapText="1"/>
      <protection locked="0"/>
    </xf>
    <xf numFmtId="0" fontId="62" fillId="25" borderId="167" xfId="0" applyFont="1" applyFill="1" applyBorder="1" applyAlignment="1" applyProtection="1">
      <alignment horizontal="left" vertical="center" wrapText="1"/>
      <protection locked="0"/>
    </xf>
    <xf numFmtId="0" fontId="62" fillId="25" borderId="169" xfId="0" applyFont="1" applyFill="1" applyBorder="1" applyAlignment="1" applyProtection="1">
      <alignment horizontal="left" vertical="center" wrapText="1"/>
      <protection locked="0"/>
    </xf>
    <xf numFmtId="0" fontId="62" fillId="25" borderId="164" xfId="0" applyFont="1" applyFill="1" applyBorder="1" applyAlignment="1" applyProtection="1">
      <alignment horizontal="left" vertical="center" wrapText="1"/>
      <protection locked="0"/>
    </xf>
    <xf numFmtId="0" fontId="62" fillId="25" borderId="165" xfId="0" applyFont="1" applyFill="1" applyBorder="1" applyAlignment="1" applyProtection="1">
      <alignment horizontal="left" vertical="center" wrapText="1"/>
      <protection locked="0"/>
    </xf>
    <xf numFmtId="0" fontId="62" fillId="25" borderId="166" xfId="0" applyFont="1" applyFill="1" applyBorder="1" applyAlignment="1" applyProtection="1">
      <alignment horizontal="left" vertical="center" wrapText="1"/>
      <protection locked="0"/>
    </xf>
    <xf numFmtId="0" fontId="62" fillId="25" borderId="161" xfId="0" applyFont="1" applyFill="1" applyBorder="1" applyAlignment="1" applyProtection="1">
      <alignment horizontal="left" vertical="center" wrapText="1"/>
      <protection locked="0"/>
    </xf>
    <xf numFmtId="0" fontId="62" fillId="25" borderId="162" xfId="0" applyFont="1" applyFill="1" applyBorder="1" applyAlignment="1" applyProtection="1">
      <alignment horizontal="left" vertical="center" wrapText="1"/>
      <protection locked="0"/>
    </xf>
    <xf numFmtId="0" fontId="62" fillId="25" borderId="163" xfId="0" applyFont="1" applyFill="1" applyBorder="1" applyAlignment="1" applyProtection="1">
      <alignment horizontal="left" vertical="center" wrapText="1"/>
      <protection locked="0"/>
    </xf>
    <xf numFmtId="0" fontId="62" fillId="25" borderId="158" xfId="0" applyFont="1" applyFill="1" applyBorder="1" applyAlignment="1" applyProtection="1">
      <alignment horizontal="left" vertical="center" wrapText="1"/>
      <protection locked="0"/>
    </xf>
    <xf numFmtId="0" fontId="62" fillId="25" borderId="159" xfId="0" applyFont="1" applyFill="1" applyBorder="1" applyAlignment="1" applyProtection="1">
      <alignment horizontal="left" vertical="center" wrapText="1"/>
      <protection locked="0"/>
    </xf>
    <xf numFmtId="0" fontId="62" fillId="25" borderId="160" xfId="0" applyFont="1" applyFill="1" applyBorder="1" applyAlignment="1" applyProtection="1">
      <alignment horizontal="left" vertical="center" wrapText="1"/>
      <protection locked="0"/>
    </xf>
    <xf numFmtId="0" fontId="62" fillId="25" borderId="21" xfId="0" applyFont="1" applyFill="1" applyBorder="1" applyAlignment="1" applyProtection="1">
      <alignment horizontal="left" vertical="center"/>
      <protection locked="0"/>
    </xf>
    <xf numFmtId="0" fontId="62" fillId="25" borderId="35" xfId="0" applyFont="1" applyFill="1" applyBorder="1" applyAlignment="1" applyProtection="1">
      <alignment horizontal="left" vertical="center"/>
      <protection locked="0"/>
    </xf>
    <xf numFmtId="0" fontId="62" fillId="25" borderId="45" xfId="0" applyFont="1" applyFill="1" applyBorder="1" applyAlignment="1" applyProtection="1">
      <alignment horizontal="left" vertical="center"/>
      <protection locked="0"/>
    </xf>
    <xf numFmtId="0" fontId="93" fillId="25" borderId="155" xfId="0" applyFont="1" applyFill="1" applyBorder="1" applyAlignment="1" applyProtection="1">
      <alignment horizontal="left" vertical="center" wrapText="1"/>
      <protection locked="0"/>
    </xf>
    <xf numFmtId="0" fontId="93" fillId="25" borderId="14" xfId="0" applyFont="1" applyFill="1" applyBorder="1" applyAlignment="1" applyProtection="1">
      <alignment horizontal="left" vertical="center" wrapText="1"/>
      <protection locked="0"/>
    </xf>
    <xf numFmtId="0" fontId="93" fillId="25" borderId="15" xfId="0" applyFont="1" applyFill="1" applyBorder="1" applyAlignment="1" applyProtection="1">
      <alignment horizontal="left" vertical="center" wrapText="1"/>
      <protection locked="0"/>
    </xf>
    <xf numFmtId="0" fontId="62" fillId="25" borderId="67" xfId="0" applyFont="1" applyFill="1" applyBorder="1" applyAlignment="1" applyProtection="1">
      <alignment horizontal="left" vertical="center" wrapText="1"/>
      <protection locked="0"/>
    </xf>
    <xf numFmtId="0" fontId="62" fillId="25" borderId="68" xfId="0" applyFont="1" applyFill="1" applyBorder="1" applyAlignment="1" applyProtection="1">
      <alignment horizontal="left" vertical="center" wrapText="1"/>
      <protection locked="0"/>
    </xf>
    <xf numFmtId="0" fontId="62" fillId="25" borderId="69" xfId="0" applyFont="1" applyFill="1" applyBorder="1" applyAlignment="1" applyProtection="1">
      <alignment horizontal="left" vertical="center" wrapText="1"/>
      <protection locked="0"/>
    </xf>
    <xf numFmtId="0" fontId="81" fillId="68" borderId="10" xfId="0" applyFont="1" applyFill="1" applyBorder="1" applyAlignment="1" applyProtection="1">
      <alignment horizontal="left" vertical="center" wrapText="1"/>
      <protection locked="0"/>
    </xf>
    <xf numFmtId="0" fontId="81" fillId="68" borderId="8" xfId="0" applyFont="1" applyFill="1" applyBorder="1" applyAlignment="1" applyProtection="1">
      <alignment horizontal="left" vertical="center" wrapText="1"/>
      <protection locked="0"/>
    </xf>
    <xf numFmtId="0" fontId="81" fillId="68" borderId="17" xfId="0" applyFont="1" applyFill="1" applyBorder="1" applyAlignment="1" applyProtection="1">
      <alignment horizontal="left" vertical="center" wrapText="1"/>
      <protection locked="0"/>
    </xf>
    <xf numFmtId="0" fontId="130" fillId="79" borderId="0" xfId="0" applyFont="1" applyFill="1" applyAlignment="1">
      <alignment horizontal="center"/>
    </xf>
    <xf numFmtId="0" fontId="131" fillId="80" borderId="0" xfId="0" applyFont="1" applyFill="1" applyAlignment="1">
      <alignment horizontal="center"/>
    </xf>
    <xf numFmtId="0" fontId="0" fillId="0" borderId="0" xfId="0" applyAlignment="1"/>
    <xf numFmtId="0" fontId="0" fillId="0" borderId="12" xfId="0" applyBorder="1" applyAlignment="1"/>
  </cellXfs>
  <cellStyles count="145">
    <cellStyle name="20 % – Zvýraznění1 2" xfId="65" xr:uid="{00000000-0005-0000-0000-000000000000}"/>
    <cellStyle name="20 % – Zvýraznění2 2" xfId="69" xr:uid="{00000000-0005-0000-0000-000001000000}"/>
    <cellStyle name="20 % – Zvýraznění3 2" xfId="73" xr:uid="{00000000-0005-0000-0000-000002000000}"/>
    <cellStyle name="20 % – Zvýraznění4 2" xfId="77" xr:uid="{00000000-0005-0000-0000-000003000000}"/>
    <cellStyle name="20 % – Zvýraznění5 2" xfId="81" xr:uid="{00000000-0005-0000-0000-000004000000}"/>
    <cellStyle name="20 % – Zvýraznění6 2" xfId="85" xr:uid="{00000000-0005-0000-0000-000005000000}"/>
    <cellStyle name="20% - Accent1" xfId="1" xr:uid="{00000000-0005-0000-0000-000006000000}"/>
    <cellStyle name="20% - Accent2" xfId="2" xr:uid="{00000000-0005-0000-0000-000007000000}"/>
    <cellStyle name="20% - Accent3" xfId="3" xr:uid="{00000000-0005-0000-0000-000008000000}"/>
    <cellStyle name="20% - Accent4" xfId="4" xr:uid="{00000000-0005-0000-0000-000009000000}"/>
    <cellStyle name="20% - Accent5" xfId="5" xr:uid="{00000000-0005-0000-0000-00000A000000}"/>
    <cellStyle name="20% - Accent6" xfId="6" xr:uid="{00000000-0005-0000-0000-00000B000000}"/>
    <cellStyle name="40 % – Zvýraznění1 2" xfId="66" xr:uid="{00000000-0005-0000-0000-00000C000000}"/>
    <cellStyle name="40 % – Zvýraznění2 2" xfId="70" xr:uid="{00000000-0005-0000-0000-00000D000000}"/>
    <cellStyle name="40 % – Zvýraznění3 2" xfId="74" xr:uid="{00000000-0005-0000-0000-00000E000000}"/>
    <cellStyle name="40 % – Zvýraznění4 2" xfId="78" xr:uid="{00000000-0005-0000-0000-00000F000000}"/>
    <cellStyle name="40 % – Zvýraznění5 2" xfId="82" xr:uid="{00000000-0005-0000-0000-000010000000}"/>
    <cellStyle name="40 % – Zvýraznění6 2" xfId="86" xr:uid="{00000000-0005-0000-0000-000011000000}"/>
    <cellStyle name="40% - Accent1" xfId="7" xr:uid="{00000000-0005-0000-0000-000012000000}"/>
    <cellStyle name="40% - Accent2" xfId="8" xr:uid="{00000000-0005-0000-0000-000013000000}"/>
    <cellStyle name="40% - Accent3" xfId="9" xr:uid="{00000000-0005-0000-0000-000014000000}"/>
    <cellStyle name="40% - Accent4" xfId="10" xr:uid="{00000000-0005-0000-0000-000015000000}"/>
    <cellStyle name="40% - Accent5" xfId="11" xr:uid="{00000000-0005-0000-0000-000016000000}"/>
    <cellStyle name="40% - Accent6" xfId="12" xr:uid="{00000000-0005-0000-0000-000017000000}"/>
    <cellStyle name="60 % – Zvýraznění1 2" xfId="67" xr:uid="{00000000-0005-0000-0000-000018000000}"/>
    <cellStyle name="60 % – Zvýraznění2 2" xfId="71" xr:uid="{00000000-0005-0000-0000-000019000000}"/>
    <cellStyle name="60 % – Zvýraznění3 2" xfId="75" xr:uid="{00000000-0005-0000-0000-00001A000000}"/>
    <cellStyle name="60 % – Zvýraznění4 2" xfId="79" xr:uid="{00000000-0005-0000-0000-00001B000000}"/>
    <cellStyle name="60 % – Zvýraznění5 2" xfId="83" xr:uid="{00000000-0005-0000-0000-00001C000000}"/>
    <cellStyle name="60 % – Zvýraznění6 2" xfId="87" xr:uid="{00000000-0005-0000-0000-00001D000000}"/>
    <cellStyle name="60% - Accent1" xfId="13" xr:uid="{00000000-0005-0000-0000-00001E000000}"/>
    <cellStyle name="60% - Accent2" xfId="14" xr:uid="{00000000-0005-0000-0000-00001F000000}"/>
    <cellStyle name="60% - Accent3" xfId="15" xr:uid="{00000000-0005-0000-0000-000020000000}"/>
    <cellStyle name="60% - Accent4" xfId="16" xr:uid="{00000000-0005-0000-0000-000021000000}"/>
    <cellStyle name="60% - Accent5" xfId="17" xr:uid="{00000000-0005-0000-0000-000022000000}"/>
    <cellStyle name="60% - Accent6" xfId="18" xr:uid="{00000000-0005-0000-0000-000023000000}"/>
    <cellStyle name="Accent1" xfId="19" xr:uid="{00000000-0005-0000-0000-000024000000}"/>
    <cellStyle name="Accent2" xfId="20" xr:uid="{00000000-0005-0000-0000-000025000000}"/>
    <cellStyle name="Accent3" xfId="21" xr:uid="{00000000-0005-0000-0000-000026000000}"/>
    <cellStyle name="Accent4" xfId="22" xr:uid="{00000000-0005-0000-0000-000027000000}"/>
    <cellStyle name="Accent5" xfId="97" xr:uid="{00000000-0005-0000-0000-000028000000}"/>
    <cellStyle name="Accent6" xfId="23" xr:uid="{00000000-0005-0000-0000-000029000000}"/>
    <cellStyle name="Bad" xfId="24" xr:uid="{00000000-0005-0000-0000-00002A000000}"/>
    <cellStyle name="Calculation" xfId="25" xr:uid="{00000000-0005-0000-0000-00002B000000}"/>
    <cellStyle name="Calculation 2" xfId="111" xr:uid="{00000000-0005-0000-0000-00002C000000}"/>
    <cellStyle name="Calculation 2 2" xfId="137" xr:uid="{00000000-0005-0000-0000-00002D000000}"/>
    <cellStyle name="Calculation 3" xfId="113" xr:uid="{00000000-0005-0000-0000-00002E000000}"/>
    <cellStyle name="Calculation 3 2" xfId="139" xr:uid="{00000000-0005-0000-0000-00002F000000}"/>
    <cellStyle name="Calculation 4" xfId="121" xr:uid="{00000000-0005-0000-0000-000030000000}"/>
    <cellStyle name="Celkem 2" xfId="63" xr:uid="{00000000-0005-0000-0000-000031000000}"/>
    <cellStyle name="Comma" xfId="144" builtinId="3"/>
    <cellStyle name="Čárka 2" xfId="104" xr:uid="{00000000-0005-0000-0000-000033000000}"/>
    <cellStyle name="Explanatory Text" xfId="26" xr:uid="{00000000-0005-0000-0000-000034000000}"/>
    <cellStyle name="Good" xfId="27" xr:uid="{00000000-0005-0000-0000-000035000000}"/>
    <cellStyle name="Heading" xfId="88" xr:uid="{00000000-0005-0000-0000-000036000000}"/>
    <cellStyle name="Heading 1" xfId="28" xr:uid="{00000000-0005-0000-0000-000037000000}"/>
    <cellStyle name="Heading 2" xfId="29" xr:uid="{00000000-0005-0000-0000-000038000000}"/>
    <cellStyle name="Heading 3" xfId="30" xr:uid="{00000000-0005-0000-0000-000039000000}"/>
    <cellStyle name="Heading 4" xfId="31" xr:uid="{00000000-0005-0000-0000-00003A000000}"/>
    <cellStyle name="Heading1" xfId="89" xr:uid="{00000000-0005-0000-0000-00003B000000}"/>
    <cellStyle name="Hyperlink" xfId="114" xr:uid="{00000000-0005-0000-0000-00003C000000}"/>
    <cellStyle name="Check Cell" xfId="32" xr:uid="{00000000-0005-0000-0000-00003D000000}"/>
    <cellStyle name="Chybně 2" xfId="53" xr:uid="{00000000-0005-0000-0000-00003E000000}"/>
    <cellStyle name="Input" xfId="33" xr:uid="{00000000-0005-0000-0000-00003F000000}"/>
    <cellStyle name="Input 2" xfId="110" xr:uid="{00000000-0005-0000-0000-000040000000}"/>
    <cellStyle name="Input 2 2" xfId="136" xr:uid="{00000000-0005-0000-0000-000041000000}"/>
    <cellStyle name="Input 3" xfId="105" xr:uid="{00000000-0005-0000-0000-000042000000}"/>
    <cellStyle name="Input 3 2" xfId="131" xr:uid="{00000000-0005-0000-0000-000043000000}"/>
    <cellStyle name="Input 4" xfId="122" xr:uid="{00000000-0005-0000-0000-000044000000}"/>
    <cellStyle name="Kontrolní buňka 2" xfId="59" xr:uid="{00000000-0005-0000-0000-000045000000}"/>
    <cellStyle name="Linked Cell" xfId="34" xr:uid="{00000000-0005-0000-0000-000046000000}"/>
    <cellStyle name="Nadpis 1 2" xfId="48" xr:uid="{00000000-0005-0000-0000-000047000000}"/>
    <cellStyle name="Nadpis 2 2" xfId="49" xr:uid="{00000000-0005-0000-0000-000048000000}"/>
    <cellStyle name="Nadpis 3 2" xfId="50" xr:uid="{00000000-0005-0000-0000-000049000000}"/>
    <cellStyle name="Nadpis 4 2" xfId="51" xr:uid="{00000000-0005-0000-0000-00004A000000}"/>
    <cellStyle name="Název 2" xfId="47" xr:uid="{00000000-0005-0000-0000-00004B000000}"/>
    <cellStyle name="Neutral" xfId="35" xr:uid="{00000000-0005-0000-0000-00004C000000}"/>
    <cellStyle name="Neutrální 2" xfId="54" xr:uid="{00000000-0005-0000-0000-00004D000000}"/>
    <cellStyle name="Normal" xfId="0" builtinId="0"/>
    <cellStyle name="Normal 2" xfId="42" xr:uid="{00000000-0005-0000-0000-00004E000000}"/>
    <cellStyle name="Normal 2 2" xfId="91" xr:uid="{00000000-0005-0000-0000-00004F000000}"/>
    <cellStyle name="Normal 2 3" xfId="90" xr:uid="{00000000-0005-0000-0000-000050000000}"/>
    <cellStyle name="Normal 3" xfId="92" xr:uid="{00000000-0005-0000-0000-000051000000}"/>
    <cellStyle name="Normální 10" xfId="116" xr:uid="{00000000-0005-0000-0000-000053000000}"/>
    <cellStyle name="normální 2" xfId="41" xr:uid="{00000000-0005-0000-0000-000054000000}"/>
    <cellStyle name="normální 2 2" xfId="101" xr:uid="{00000000-0005-0000-0000-000055000000}"/>
    <cellStyle name="normální 2 2 2" xfId="130" xr:uid="{00000000-0005-0000-0000-000056000000}"/>
    <cellStyle name="Normální 2 3" xfId="117" xr:uid="{00000000-0005-0000-0000-000057000000}"/>
    <cellStyle name="Normální 2 3 2" xfId="140" xr:uid="{00000000-0005-0000-0000-000058000000}"/>
    <cellStyle name="Normální 2 4" xfId="118" xr:uid="{00000000-0005-0000-0000-000059000000}"/>
    <cellStyle name="Normální 2 4 2" xfId="141" xr:uid="{00000000-0005-0000-0000-00005A000000}"/>
    <cellStyle name="Normální 2 5" xfId="119" xr:uid="{00000000-0005-0000-0000-00005B000000}"/>
    <cellStyle name="Normální 2 5 2" xfId="142" xr:uid="{00000000-0005-0000-0000-00005C000000}"/>
    <cellStyle name="Normální 2 6" xfId="120" xr:uid="{00000000-0005-0000-0000-00005D000000}"/>
    <cellStyle name="Normální 2 6 2" xfId="143" xr:uid="{00000000-0005-0000-0000-00005E000000}"/>
    <cellStyle name="normální 2 7" xfId="126" xr:uid="{00000000-0005-0000-0000-00005F000000}"/>
    <cellStyle name="normální 3" xfId="43" xr:uid="{00000000-0005-0000-0000-000060000000}"/>
    <cellStyle name="normální 3 2" xfId="102" xr:uid="{00000000-0005-0000-0000-000061000000}"/>
    <cellStyle name="normální 4" xfId="44" xr:uid="{00000000-0005-0000-0000-000062000000}"/>
    <cellStyle name="normální 4 2" xfId="103" xr:uid="{00000000-0005-0000-0000-000063000000}"/>
    <cellStyle name="normální 5" xfId="45" xr:uid="{00000000-0005-0000-0000-000064000000}"/>
    <cellStyle name="Normální 6" xfId="46" xr:uid="{00000000-0005-0000-0000-000065000000}"/>
    <cellStyle name="Normální 7" xfId="95" xr:uid="{00000000-0005-0000-0000-000066000000}"/>
    <cellStyle name="Normální 8" xfId="96" xr:uid="{00000000-0005-0000-0000-000067000000}"/>
    <cellStyle name="Normální 9" xfId="115" xr:uid="{00000000-0005-0000-0000-000068000000}"/>
    <cellStyle name="Note" xfId="36" xr:uid="{00000000-0005-0000-0000-000069000000}"/>
    <cellStyle name="Note 2" xfId="99" xr:uid="{00000000-0005-0000-0000-00006A000000}"/>
    <cellStyle name="Note 2 2" xfId="128" xr:uid="{00000000-0005-0000-0000-00006B000000}"/>
    <cellStyle name="Note 3" xfId="109" xr:uid="{00000000-0005-0000-0000-00006C000000}"/>
    <cellStyle name="Note 3 2" xfId="135" xr:uid="{00000000-0005-0000-0000-00006D000000}"/>
    <cellStyle name="Note 4" xfId="108" xr:uid="{00000000-0005-0000-0000-00006E000000}"/>
    <cellStyle name="Note 4 2" xfId="134" xr:uid="{00000000-0005-0000-0000-00006F000000}"/>
    <cellStyle name="Note 5" xfId="123" xr:uid="{00000000-0005-0000-0000-000070000000}"/>
    <cellStyle name="Output" xfId="37" xr:uid="{00000000-0005-0000-0000-000071000000}"/>
    <cellStyle name="Output 2" xfId="100" xr:uid="{00000000-0005-0000-0000-000072000000}"/>
    <cellStyle name="Output 2 2" xfId="129" xr:uid="{00000000-0005-0000-0000-000073000000}"/>
    <cellStyle name="Output 3" xfId="98" xr:uid="{00000000-0005-0000-0000-000074000000}"/>
    <cellStyle name="Output 3 2" xfId="127" xr:uid="{00000000-0005-0000-0000-000075000000}"/>
    <cellStyle name="Output 4" xfId="107" xr:uid="{00000000-0005-0000-0000-000076000000}"/>
    <cellStyle name="Output 4 2" xfId="133" xr:uid="{00000000-0005-0000-0000-000077000000}"/>
    <cellStyle name="Output 5" xfId="124" xr:uid="{00000000-0005-0000-0000-000078000000}"/>
    <cellStyle name="Poznámka 2" xfId="61" xr:uid="{00000000-0005-0000-0000-000079000000}"/>
    <cellStyle name="Propojená buňka 2" xfId="58" xr:uid="{00000000-0005-0000-0000-00007A000000}"/>
    <cellStyle name="Result" xfId="93" xr:uid="{00000000-0005-0000-0000-00007B000000}"/>
    <cellStyle name="Result2" xfId="94" xr:uid="{00000000-0005-0000-0000-00007C000000}"/>
    <cellStyle name="Správně 2" xfId="52" xr:uid="{00000000-0005-0000-0000-00007D000000}"/>
    <cellStyle name="Text upozornění 2" xfId="60" xr:uid="{00000000-0005-0000-0000-00007E000000}"/>
    <cellStyle name="Title" xfId="38" xr:uid="{00000000-0005-0000-0000-00007F000000}"/>
    <cellStyle name="Total" xfId="39" xr:uid="{00000000-0005-0000-0000-000080000000}"/>
    <cellStyle name="Total 2" xfId="106" xr:uid="{00000000-0005-0000-0000-000081000000}"/>
    <cellStyle name="Total 2 2" xfId="132" xr:uid="{00000000-0005-0000-0000-000082000000}"/>
    <cellStyle name="Total 3" xfId="112" xr:uid="{00000000-0005-0000-0000-000083000000}"/>
    <cellStyle name="Total 3 2" xfId="138" xr:uid="{00000000-0005-0000-0000-000084000000}"/>
    <cellStyle name="Total 4" xfId="125" xr:uid="{00000000-0005-0000-0000-000085000000}"/>
    <cellStyle name="Vstup 2" xfId="55" xr:uid="{00000000-0005-0000-0000-000086000000}"/>
    <cellStyle name="Výpočet 2" xfId="57" xr:uid="{00000000-0005-0000-0000-000087000000}"/>
    <cellStyle name="Výstup 2" xfId="56" xr:uid="{00000000-0005-0000-0000-000088000000}"/>
    <cellStyle name="Vysvětlující text 2" xfId="62" xr:uid="{00000000-0005-0000-0000-000089000000}"/>
    <cellStyle name="Warning Text" xfId="40" xr:uid="{00000000-0005-0000-0000-00008A000000}"/>
    <cellStyle name="Zvýraznění 1 2" xfId="64" xr:uid="{00000000-0005-0000-0000-00008B000000}"/>
    <cellStyle name="Zvýraznění 2 2" xfId="68" xr:uid="{00000000-0005-0000-0000-00008C000000}"/>
    <cellStyle name="Zvýraznění 3 2" xfId="72" xr:uid="{00000000-0005-0000-0000-00008D000000}"/>
    <cellStyle name="Zvýraznění 4 2" xfId="76" xr:uid="{00000000-0005-0000-0000-00008E000000}"/>
    <cellStyle name="Zvýraznění 5 2" xfId="80" xr:uid="{00000000-0005-0000-0000-00008F000000}"/>
    <cellStyle name="Zvýraznění 6 2" xfId="84" xr:uid="{00000000-0005-0000-0000-000090000000}"/>
  </cellStyles>
  <dxfs count="1607">
    <dxf>
      <font>
        <b/>
        <i val="0"/>
        <strike val="0"/>
        <condense val="0"/>
        <extend val="0"/>
        <outline val="0"/>
        <shadow val="0"/>
        <u val="none"/>
        <vertAlign val="baseline"/>
        <sz val="14"/>
        <color auto="1"/>
        <name val="Calibri"/>
        <family val="2"/>
        <charset val="238"/>
        <scheme val="minor"/>
      </font>
      <fill>
        <patternFill patternType="solid">
          <fgColor indexed="64"/>
          <bgColor rgb="FFFDEBD0"/>
        </patternFill>
      </fill>
      <alignment horizontal="center" vertical="center" textRotation="0" wrapText="0" indent="0" justifyLastLine="0" shrinkToFit="0" readingOrder="0"/>
      <border diagonalUp="0" diagonalDown="0">
        <left style="thin">
          <color indexed="64"/>
        </left>
        <right/>
        <top style="thin">
          <color indexed="64"/>
        </top>
        <bottom style="thin">
          <color auto="1"/>
        </bottom>
        <vertical/>
        <horizontal/>
      </border>
      <protection locked="0" hidden="0"/>
    </dxf>
    <dxf>
      <font>
        <b/>
        <i val="0"/>
        <strike val="0"/>
        <condense val="0"/>
        <extend val="0"/>
        <outline val="0"/>
        <shadow val="0"/>
        <u val="none"/>
        <vertAlign val="baseline"/>
        <sz val="14"/>
        <color auto="1"/>
        <name val="Calibri"/>
        <family val="2"/>
        <charset val="238"/>
        <scheme val="minor"/>
      </font>
      <fill>
        <patternFill patternType="solid">
          <fgColor indexed="64"/>
          <bgColor rgb="FFFDEBD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4"/>
        <color auto="1"/>
        <name val="Calibri"/>
        <family val="2"/>
        <charset val="238"/>
        <scheme val="minor"/>
      </font>
      <fill>
        <patternFill patternType="solid">
          <fgColor indexed="64"/>
          <bgColor rgb="FFFDEBD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4"/>
        <color rgb="FF000000"/>
        <name val="Calibri"/>
        <family val="2"/>
        <charset val="238"/>
        <scheme val="minor"/>
      </font>
      <fill>
        <patternFill patternType="solid">
          <fgColor indexed="64"/>
          <bgColor theme="0" tint="-4.9989318521683403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auto="1"/>
        <name val="Calibri"/>
        <family val="2"/>
        <charset val="238"/>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auto="1"/>
        <name val="Calibri"/>
        <family val="2"/>
        <charset val="238"/>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auto="1"/>
        <name val="Calibri"/>
        <family val="2"/>
        <charset val="238"/>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theme="1"/>
        <name val="Calibri"/>
        <family val="2"/>
        <charset val="238"/>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auto="1"/>
        <name val="Calibri"/>
        <family val="2"/>
        <charset val="238"/>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auto="1"/>
        <name val="Calibri"/>
        <family val="2"/>
        <charset val="238"/>
        <scheme val="minor"/>
      </font>
      <numFmt numFmtId="164" formatCode="d/m"/>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auto="1"/>
        <name val="Calibri"/>
        <family val="2"/>
        <charset val="238"/>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auto="1"/>
        <name val="Calibri"/>
        <family val="2"/>
        <charset val="238"/>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auto="1"/>
        <name val="Calibri"/>
        <family val="2"/>
        <charset val="238"/>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auto="1"/>
        <name val="Calibri"/>
        <family val="2"/>
        <charset val="238"/>
        <scheme val="minor"/>
      </font>
      <numFmt numFmtId="19" formatCode="dd/mm/yyyy"/>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auto="1"/>
        <name val="Calibri"/>
        <family val="2"/>
        <charset val="238"/>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auto="1"/>
        <name val="Calibri"/>
        <family val="2"/>
        <charset val="238"/>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auto="1"/>
        <name val="Calibri"/>
        <family val="2"/>
        <charset val="238"/>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border outline="0">
        <top style="thin">
          <color indexed="64"/>
        </top>
      </border>
    </dxf>
    <dxf>
      <border outline="0">
        <bottom style="thin">
          <color auto="1"/>
        </bottom>
      </border>
    </dxf>
    <dxf>
      <border outline="0">
        <left style="thin">
          <color indexed="64"/>
        </left>
        <right style="thin">
          <color indexed="64"/>
        </right>
        <top style="thin">
          <color indexed="64"/>
        </top>
        <bottom style="thin">
          <color auto="1"/>
        </bottom>
      </border>
    </dxf>
    <dxf>
      <font>
        <b/>
        <i val="0"/>
        <strike val="0"/>
        <condense val="0"/>
        <extend val="0"/>
        <outline val="0"/>
        <shadow val="0"/>
        <u val="none"/>
        <vertAlign val="baseline"/>
        <sz val="16"/>
        <color theme="1"/>
        <name val="Calibri"/>
        <family val="2"/>
        <charset val="238"/>
        <scheme val="minor"/>
      </font>
      <fill>
        <patternFill patternType="solid">
          <fgColor indexed="64"/>
          <bgColor rgb="FFD6EAF8"/>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ill>
        <patternFill>
          <bgColor rgb="FFE1FFE1"/>
        </patternFill>
      </fill>
    </dxf>
    <dxf>
      <fill>
        <patternFill>
          <bgColor rgb="FF92D050"/>
        </patternFill>
      </fill>
    </dxf>
    <dxf>
      <fill>
        <patternFill>
          <bgColor rgb="FFFFC000"/>
        </patternFill>
      </fill>
    </dxf>
    <dxf>
      <fill>
        <patternFill>
          <bgColor rgb="FFFF0000"/>
        </patternFill>
      </fill>
    </dxf>
    <dxf>
      <fill>
        <patternFill>
          <bgColor rgb="FFE1FFE1"/>
        </patternFill>
      </fill>
    </dxf>
    <dxf>
      <fill>
        <patternFill>
          <bgColor rgb="FFE1FFE1"/>
        </patternFill>
      </fill>
    </dxf>
    <dxf>
      <fill>
        <patternFill>
          <bgColor rgb="FFE1FFE1"/>
        </patternFill>
      </fill>
    </dxf>
    <dxf>
      <fill>
        <patternFill>
          <bgColor rgb="FFE1FFE1"/>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alignment horizontal="general" vertical="bottom" textRotation="0" wrapText="1" indent="0" justifyLastLine="0" shrinkToFit="0" readingOrder="0"/>
    </dxf>
    <dxf>
      <numFmt numFmtId="19" formatCode="dd/mm/yyyy"/>
    </dxf>
    <dxf>
      <fill>
        <patternFill>
          <bgColor rgb="FFE1FFE1"/>
        </patternFill>
      </fill>
    </dxf>
    <dxf>
      <fill>
        <patternFill>
          <bgColor rgb="FFE1FFE1"/>
        </patternFill>
      </fill>
    </dxf>
    <dxf>
      <fill>
        <patternFill>
          <bgColor rgb="FFE1FFE1"/>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E1FFE1"/>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C000"/>
        </patternFill>
      </fill>
    </dxf>
    <dxf>
      <fill>
        <patternFill>
          <bgColor rgb="FF92D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3087"/>
        </patternFill>
      </fill>
    </dxf>
    <dxf>
      <fill>
        <patternFill patternType="solid">
          <fgColor indexed="64"/>
          <bgColor rgb="FF003087"/>
        </patternFill>
      </fill>
    </dxf>
    <dxf>
      <font>
        <color rgb="FFFFFFFF"/>
      </font>
    </dxf>
    <dxf>
      <font>
        <color rgb="FFFFFFFF"/>
      </font>
    </dxf>
    <dxf>
      <font>
        <b/>
      </font>
    </dxf>
    <dxf>
      <font>
        <b/>
      </font>
    </dxf>
    <dxf>
      <font>
        <sz val="9"/>
      </font>
    </dxf>
    <dxf>
      <font>
        <sz val="9"/>
      </font>
    </dxf>
    <dxf>
      <font>
        <name val="Arial"/>
      </font>
    </dxf>
    <dxf>
      <font>
        <name val="Arial"/>
      </font>
    </dxf>
    <dxf>
      <alignment horizontal="left"/>
    </dxf>
    <dxf>
      <alignment horizontal="center"/>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BDD7EE"/>
        </patternFill>
      </fill>
    </dxf>
    <dxf>
      <fill>
        <patternFill patternType="solid">
          <fgColor indexed="64"/>
          <bgColor rgb="FFBDD7EE"/>
        </patternFill>
      </fill>
    </dxf>
    <dxf>
      <font>
        <color rgb="FF003087"/>
      </font>
    </dxf>
    <dxf>
      <font>
        <color rgb="FF003087"/>
      </font>
    </dxf>
    <dxf>
      <font>
        <b/>
      </font>
    </dxf>
    <dxf>
      <font>
        <b/>
      </font>
    </dxf>
    <dxf>
      <font>
        <sz val="10"/>
      </font>
    </dxf>
    <dxf>
      <font>
        <sz val="10"/>
      </font>
    </dxf>
    <dxf>
      <font>
        <name val="Arial"/>
      </font>
    </dxf>
    <dxf>
      <font>
        <name val="Arial"/>
      </font>
    </dxf>
    <dxf>
      <alignment horizontal="left"/>
    </dxf>
    <dxf>
      <alignment horizontal="cent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003087"/>
        </top>
        <bottom style="medium">
          <color rgb="FF1565C0"/>
        </bottom>
      </border>
    </dxf>
    <dxf>
      <border diagonalUp="0" diagonalDown="0" outline="0">
        <left style="medium">
          <color rgb="FF1565C0"/>
        </left>
        <right style="medium">
          <color rgb="FF1565C0"/>
        </right>
        <top style="medium">
          <color rgb="FF003087"/>
        </top>
        <bottom style="medium">
          <color rgb="FF1565C0"/>
        </bottom>
      </border>
    </dxf>
    <dxf>
      <fill>
        <patternFill patternType="solid">
          <fgColor indexed="64"/>
          <bgColor rgb="FF003087"/>
        </patternFill>
      </fill>
    </dxf>
    <dxf>
      <fill>
        <patternFill patternType="solid">
          <fgColor indexed="64"/>
          <bgColor rgb="FF003087"/>
        </patternFill>
      </fill>
    </dxf>
    <dxf>
      <font>
        <color rgb="FFFFFFFF"/>
      </font>
    </dxf>
    <dxf>
      <font>
        <color rgb="FFFFFFFF"/>
      </font>
    </dxf>
    <dxf>
      <font>
        <b/>
      </font>
    </dxf>
    <dxf>
      <font>
        <b/>
      </font>
    </dxf>
    <dxf>
      <font>
        <sz val="9"/>
      </font>
    </dxf>
    <dxf>
      <font>
        <sz val="9"/>
      </font>
    </dxf>
    <dxf>
      <font>
        <name val="Arial"/>
      </font>
    </dxf>
    <dxf>
      <font>
        <name val="Arial"/>
      </font>
    </dxf>
    <dxf>
      <alignment horizontal="center"/>
    </dxf>
    <dxf>
      <fill>
        <patternFill patternType="solid">
          <fgColor indexed="64"/>
          <bgColor rgb="FFBDD7EE"/>
        </patternFill>
      </fill>
    </dxf>
    <dxf>
      <fill>
        <patternFill patternType="solid">
          <fgColor indexed="64"/>
          <bgColor rgb="FFBDD7EE"/>
        </patternFill>
      </fill>
    </dxf>
    <dxf>
      <font>
        <color rgb="FF003087"/>
      </font>
    </dxf>
    <dxf>
      <font>
        <color rgb="FF003087"/>
      </font>
    </dxf>
    <dxf>
      <font>
        <b/>
      </font>
    </dxf>
    <dxf>
      <font>
        <b/>
      </font>
    </dxf>
    <dxf>
      <font>
        <sz val="10"/>
      </font>
    </dxf>
    <dxf>
      <font>
        <sz val="10"/>
      </font>
    </dxf>
    <dxf>
      <font>
        <name val="Arial"/>
      </font>
    </dxf>
    <dxf>
      <font>
        <name val="Arial"/>
      </font>
    </dxf>
    <dxf>
      <alignment horizontal="center"/>
    </dxf>
    <dxf>
      <alignment horizontal="left"/>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E8F0FE"/>
        </patternFill>
      </fill>
    </dxf>
    <dxf>
      <fill>
        <patternFill patternType="solid">
          <fgColor indexed="64"/>
          <bgColor rgb="FFE8F0FE"/>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fill>
        <patternFill patternType="solid">
          <fgColor indexed="64"/>
          <bgColor rgb="FFFFFFFF"/>
        </patternFill>
      </fill>
    </dxf>
    <dxf>
      <fill>
        <patternFill patternType="solid">
          <fgColor indexed="64"/>
          <bgColor rgb="FFFFFFFF"/>
        </patternFill>
      </fill>
    </dxf>
    <dxf>
      <font>
        <color rgb="FF1A1A2E"/>
      </font>
    </dxf>
    <dxf>
      <font>
        <color rgb="FF1A1A2E"/>
      </font>
    </dxf>
    <dxf>
      <font>
        <b val="0"/>
      </font>
    </dxf>
    <dxf>
      <font>
        <b val="0"/>
      </font>
    </dxf>
    <dxf>
      <font>
        <sz val="10"/>
      </font>
    </dxf>
    <dxf>
      <font>
        <sz val="10"/>
      </font>
    </dxf>
    <dxf>
      <font>
        <name val="Arial"/>
      </font>
    </dxf>
    <dxf>
      <font>
        <name val="Arial"/>
      </font>
    </dxf>
    <dxf>
      <alignment horizontal="left"/>
    </dxf>
    <dxf>
      <alignment indent="1"/>
    </dxf>
    <dxf>
      <alignment horizontal="cent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003087"/>
        </top>
        <bottom style="medium">
          <color rgb="FF1565C0"/>
        </bottom>
      </border>
    </dxf>
    <dxf>
      <border diagonalUp="0" diagonalDown="0" outline="0">
        <left style="medium">
          <color rgb="FF1565C0"/>
        </left>
        <right style="medium">
          <color rgb="FF1565C0"/>
        </right>
        <top style="medium">
          <color rgb="FF003087"/>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3087"/>
        </patternFill>
      </fill>
    </dxf>
    <dxf>
      <fill>
        <patternFill patternType="solid">
          <fgColor indexed="64"/>
          <bgColor rgb="FF003087"/>
        </patternFill>
      </fill>
    </dxf>
    <dxf>
      <font>
        <color rgb="FFFFFFFF"/>
      </font>
    </dxf>
    <dxf>
      <font>
        <color rgb="FFFFFFFF"/>
      </font>
    </dxf>
    <dxf>
      <font>
        <b/>
      </font>
    </dxf>
    <dxf>
      <font>
        <b/>
      </font>
    </dxf>
    <dxf>
      <font>
        <sz val="9"/>
      </font>
    </dxf>
    <dxf>
      <font>
        <sz val="9"/>
      </font>
    </dxf>
    <dxf>
      <font>
        <name val="Arial"/>
      </font>
    </dxf>
    <dxf>
      <font>
        <name val="Arial"/>
      </font>
    </dxf>
    <dxf>
      <alignment horizontal="left"/>
    </dxf>
    <dxf>
      <alignment horizontal="left"/>
    </dxf>
    <dxf>
      <fill>
        <patternFill patternType="solid">
          <fgColor indexed="64"/>
          <bgColor rgb="FF003087"/>
        </patternFill>
      </fill>
    </dxf>
    <dxf>
      <fill>
        <patternFill patternType="solid">
          <fgColor indexed="64"/>
          <bgColor rgb="FF003087"/>
        </patternFill>
      </fill>
    </dxf>
    <dxf>
      <font>
        <color rgb="FFFFFFFF"/>
      </font>
    </dxf>
    <dxf>
      <font>
        <color rgb="FFFFFFFF"/>
      </font>
    </dxf>
    <dxf>
      <font>
        <b/>
      </font>
    </dxf>
    <dxf>
      <font>
        <b/>
      </font>
    </dxf>
    <dxf>
      <font>
        <sz val="9"/>
      </font>
    </dxf>
    <dxf>
      <font>
        <sz val="9"/>
      </font>
    </dxf>
    <dxf>
      <font>
        <name val="Arial"/>
      </font>
    </dxf>
    <dxf>
      <font>
        <name val="Arial"/>
      </font>
    </dxf>
    <dxf>
      <alignment horizontal="left"/>
    </dxf>
    <dxf>
      <alignment horizontal="center"/>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BDD7EE"/>
        </patternFill>
      </fill>
    </dxf>
    <dxf>
      <fill>
        <patternFill patternType="solid">
          <fgColor indexed="64"/>
          <bgColor rgb="FFBDD7EE"/>
        </patternFill>
      </fill>
    </dxf>
    <dxf>
      <font>
        <color rgb="FF003087"/>
      </font>
    </dxf>
    <dxf>
      <font>
        <color rgb="FF003087"/>
      </font>
    </dxf>
    <dxf>
      <font>
        <b/>
      </font>
    </dxf>
    <dxf>
      <font>
        <b/>
      </font>
    </dxf>
    <dxf>
      <font>
        <sz val="10"/>
      </font>
    </dxf>
    <dxf>
      <font>
        <sz val="10"/>
      </font>
    </dxf>
    <dxf>
      <font>
        <name val="Arial"/>
      </font>
    </dxf>
    <dxf>
      <font>
        <name val="Arial"/>
      </font>
    </dxf>
    <dxf>
      <alignment horizontal="left"/>
    </dxf>
    <dxf>
      <alignment horizontal="cent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003087"/>
        </top>
        <bottom style="medium">
          <color rgb="FF1565C0"/>
        </bottom>
      </border>
    </dxf>
    <dxf>
      <border diagonalUp="0" diagonalDown="0" outline="0">
        <left style="medium">
          <color rgb="FF1565C0"/>
        </left>
        <right style="medium">
          <color rgb="FF1565C0"/>
        </right>
        <top style="medium">
          <color rgb="FF003087"/>
        </top>
        <bottom style="medium">
          <color rgb="FF1565C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3087"/>
        </patternFill>
      </fill>
    </dxf>
    <dxf>
      <fill>
        <patternFill patternType="solid">
          <fgColor indexed="64"/>
          <bgColor rgb="FF003087"/>
        </patternFill>
      </fill>
    </dxf>
    <dxf>
      <font>
        <color rgb="FFFFFFFF"/>
      </font>
    </dxf>
    <dxf>
      <font>
        <color rgb="FFFFFFFF"/>
      </font>
    </dxf>
    <dxf>
      <font>
        <b/>
      </font>
    </dxf>
    <dxf>
      <font>
        <b/>
      </font>
    </dxf>
    <dxf>
      <font>
        <sz val="9"/>
      </font>
    </dxf>
    <dxf>
      <font>
        <sz val="9"/>
      </font>
    </dxf>
    <dxf>
      <font>
        <name val="Arial"/>
      </font>
    </dxf>
    <dxf>
      <font>
        <name val="Arial"/>
      </font>
    </dxf>
    <dxf>
      <alignment horizontal="left"/>
    </dxf>
    <dxf>
      <alignment horizontal="center"/>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BDD7EE"/>
        </patternFill>
      </fill>
    </dxf>
    <dxf>
      <fill>
        <patternFill patternType="solid">
          <fgColor indexed="64"/>
          <bgColor rgb="FFBDD7EE"/>
        </patternFill>
      </fill>
    </dxf>
    <dxf>
      <font>
        <color rgb="FF003087"/>
      </font>
    </dxf>
    <dxf>
      <font>
        <color rgb="FF003087"/>
      </font>
    </dxf>
    <dxf>
      <font>
        <b/>
      </font>
    </dxf>
    <dxf>
      <font>
        <b/>
      </font>
    </dxf>
    <dxf>
      <font>
        <sz val="10"/>
      </font>
    </dxf>
    <dxf>
      <font>
        <sz val="10"/>
      </font>
    </dxf>
    <dxf>
      <font>
        <name val="Arial"/>
      </font>
    </dxf>
    <dxf>
      <font>
        <name val="Arial"/>
      </font>
    </dxf>
    <dxf>
      <alignment horizontal="left"/>
    </dxf>
    <dxf>
      <alignment horizontal="cent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003087"/>
        </top>
        <bottom style="medium">
          <color rgb="FF1565C0"/>
        </bottom>
      </border>
    </dxf>
    <dxf>
      <border diagonalUp="0" diagonalDown="0" outline="0">
        <left style="medium">
          <color rgb="FF1565C0"/>
        </left>
        <right style="medium">
          <color rgb="FF1565C0"/>
        </right>
        <top style="medium">
          <color rgb="FF003087"/>
        </top>
        <bottom style="medium">
          <color rgb="FF1565C0"/>
        </bottom>
      </border>
    </dxf>
    <dxf>
      <fill>
        <patternFill patternType="solid">
          <fgColor indexed="64"/>
          <bgColor rgb="FFFFFFFF"/>
        </patternFill>
      </fill>
    </dxf>
    <dxf>
      <font>
        <color rgb="FF1A1A2E"/>
      </font>
    </dxf>
    <dxf>
      <font>
        <b val="0"/>
      </font>
    </dxf>
    <dxf>
      <font>
        <sz val="10"/>
      </font>
    </dxf>
    <dxf>
      <font>
        <name val="Arial"/>
      </font>
    </dxf>
    <dxf>
      <alignment horizontal="left"/>
    </dxf>
    <dxf>
      <alignment indent="1"/>
    </dxf>
    <dxf>
      <fill>
        <patternFill patternType="solid">
          <fgColor indexed="64"/>
          <bgColor rgb="FFFFFFFF"/>
        </patternFill>
      </fill>
    </dxf>
    <dxf>
      <font>
        <color rgb="FF1A1A2E"/>
      </font>
    </dxf>
    <dxf>
      <font>
        <b val="0"/>
      </font>
    </dxf>
    <dxf>
      <font>
        <sz val="10"/>
      </font>
    </dxf>
    <dxf>
      <font>
        <name val="Arial"/>
      </font>
    </dxf>
    <dxf>
      <alignment horizontal="center"/>
    </dxf>
    <dxf>
      <border diagonalUp="0" diagonalDown="0" outline="0">
        <left style="thin">
          <color rgb="FF1565C0"/>
        </left>
        <right style="thin">
          <color rgb="FF1565C0"/>
        </right>
        <top style="thin">
          <color rgb="FF1565C0"/>
        </top>
        <bottom style="thin">
          <color rgb="FF1565C0"/>
        </bottom>
      </border>
    </dxf>
    <dxf>
      <border diagonalUp="0" diagonalDown="0" outline="0">
        <left style="thin">
          <color rgb="FF1565C0"/>
        </left>
        <right style="thin">
          <color rgb="FF1565C0"/>
        </right>
        <top style="thin">
          <color rgb="FF1565C0"/>
        </top>
        <bottom style="thin">
          <color rgb="FF1565C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003087"/>
        </patternFill>
      </fill>
    </dxf>
    <dxf>
      <fill>
        <patternFill patternType="solid">
          <fgColor indexed="64"/>
          <bgColor rgb="FF003087"/>
        </patternFill>
      </fill>
    </dxf>
    <dxf>
      <font>
        <color rgb="FFFFFFFF"/>
      </font>
    </dxf>
    <dxf>
      <font>
        <color rgb="FFFFFFFF"/>
      </font>
    </dxf>
    <dxf>
      <font>
        <b/>
      </font>
    </dxf>
    <dxf>
      <font>
        <b/>
      </font>
    </dxf>
    <dxf>
      <font>
        <sz val="9"/>
      </font>
    </dxf>
    <dxf>
      <font>
        <sz val="9"/>
      </font>
    </dxf>
    <dxf>
      <font>
        <name val="Arial"/>
      </font>
    </dxf>
    <dxf>
      <font>
        <name val="Arial"/>
      </font>
    </dxf>
    <dxf>
      <alignment horizontal="left"/>
    </dxf>
    <dxf>
      <alignment horizontal="center"/>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FFFFFF"/>
        </patternFill>
      </fill>
    </dxf>
    <dxf>
      <font>
        <color rgb="FF1A1A2E"/>
      </font>
    </dxf>
    <dxf>
      <font>
        <b val="0"/>
      </font>
    </dxf>
    <dxf>
      <font>
        <sz val="10"/>
      </font>
    </dxf>
    <dxf>
      <font>
        <name val="Arial"/>
      </font>
    </dxf>
    <dxf>
      <alignment horizontal="left"/>
    </dxf>
    <dxf>
      <fill>
        <patternFill patternType="solid">
          <fgColor indexed="64"/>
          <bgColor rgb="FFFFFFFF"/>
        </patternFill>
      </fill>
    </dxf>
    <dxf>
      <font>
        <color rgb="FF1A1A2E"/>
      </font>
    </dxf>
    <dxf>
      <font>
        <b val="0"/>
      </font>
    </dxf>
    <dxf>
      <font>
        <sz val="10"/>
      </font>
    </dxf>
    <dxf>
      <font>
        <name val="Arial"/>
      </font>
    </dxf>
    <dxf>
      <alignment horizontal="center"/>
    </dxf>
    <dxf>
      <alignment indent="1"/>
    </dxf>
    <dxf>
      <fill>
        <patternFill patternType="solid">
          <fgColor indexed="64"/>
          <bgColor rgb="FFE8F0FE"/>
        </patternFill>
      </fill>
    </dxf>
    <dxf>
      <font>
        <color rgb="FF1A1A2E"/>
      </font>
    </dxf>
    <dxf>
      <font>
        <b val="0"/>
      </font>
    </dxf>
    <dxf>
      <font>
        <sz val="10"/>
      </font>
    </dxf>
    <dxf>
      <font>
        <name val="Arial"/>
      </font>
    </dxf>
    <dxf>
      <alignment horizontal="left"/>
    </dxf>
    <dxf>
      <fill>
        <patternFill patternType="solid">
          <fgColor indexed="64"/>
          <bgColor rgb="FFE8F0FE"/>
        </patternFill>
      </fill>
    </dxf>
    <dxf>
      <font>
        <color rgb="FF1A1A2E"/>
      </font>
    </dxf>
    <dxf>
      <font>
        <b val="0"/>
      </font>
    </dxf>
    <dxf>
      <font>
        <sz val="10"/>
      </font>
    </dxf>
    <dxf>
      <font>
        <name val="Arial"/>
      </font>
    </dxf>
    <dxf>
      <alignment horizontal="center"/>
    </dxf>
    <dxf>
      <alignment indent="1"/>
    </dxf>
    <dxf>
      <fill>
        <patternFill patternType="solid">
          <fgColor indexed="64"/>
          <bgColor rgb="FFBDD7EE"/>
        </patternFill>
      </fill>
    </dxf>
    <dxf>
      <fill>
        <patternFill patternType="solid">
          <fgColor indexed="64"/>
          <bgColor rgb="FFBDD7EE"/>
        </patternFill>
      </fill>
    </dxf>
    <dxf>
      <font>
        <color rgb="FF003087"/>
      </font>
    </dxf>
    <dxf>
      <font>
        <color rgb="FF003087"/>
      </font>
    </dxf>
    <dxf>
      <font>
        <b/>
      </font>
    </dxf>
    <dxf>
      <font>
        <b/>
      </font>
    </dxf>
    <dxf>
      <font>
        <sz val="10"/>
      </font>
    </dxf>
    <dxf>
      <font>
        <sz val="10"/>
      </font>
    </dxf>
    <dxf>
      <font>
        <name val="Arial"/>
      </font>
    </dxf>
    <dxf>
      <font>
        <name val="Arial"/>
      </font>
    </dxf>
    <dxf>
      <alignment horizontal="left"/>
    </dxf>
    <dxf>
      <alignment horizontal="cent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1565C0"/>
        </top>
        <bottom style="medium">
          <color rgb="FF1565C0"/>
        </bottom>
      </border>
    </dxf>
    <dxf>
      <border diagonalUp="0" diagonalDown="0" outline="0">
        <left style="medium">
          <color rgb="FF1565C0"/>
        </left>
        <right style="medium">
          <color rgb="FF1565C0"/>
        </right>
        <top style="medium">
          <color rgb="FF003087"/>
        </top>
        <bottom style="medium">
          <color rgb="FF1565C0"/>
        </bottom>
      </border>
    </dxf>
    <dxf>
      <border diagonalUp="0" diagonalDown="0" outline="0">
        <left style="medium">
          <color rgb="FF1565C0"/>
        </left>
        <right style="medium">
          <color rgb="FF1565C0"/>
        </right>
        <top style="medium">
          <color rgb="FF003087"/>
        </top>
        <bottom style="medium">
          <color rgb="FF1565C0"/>
        </bottom>
      </border>
    </dxf>
  </dxfs>
  <tableStyles count="0" defaultTableStyle="TableStyleMedium9" defaultPivotStyle="PivotStyleLight16"/>
  <colors>
    <mruColors>
      <color rgb="FFE4ECF4"/>
      <color rgb="FFD6EAF8"/>
      <color rgb="FFDAF2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[VAC_actual1.xlsx]Summary!Kontingenční tabulka2</c:name>
    <c:fmtId val="0"/>
  </c:pivotSource>
  <c:chart>
    <c:title>
      <c:tx>
        <c:rich>
          <a:bodyPr/>
          <a:lstStyle/>
          <a:p>
            <a:pPr>
              <a:defRPr sz="1100" b="1">
                <a:solidFill>
                  <a:srgbClr val="003087"/>
                </a:solidFill>
                <a:latin typeface="Arial"/>
                <a:ea typeface="Arial"/>
                <a:cs typeface="Arial"/>
              </a:defRPr>
            </a:pPr>
            <a:r>
              <a:rPr lang="cs-CZ"/>
              <a:t>VAC Count by Division</a:t>
            </a:r>
          </a:p>
        </c:rich>
      </c:tx>
      <c:overlay val="0"/>
    </c:title>
    <c:autoTitleDeleted val="0"/>
    <c:pivotFmts>
      <c:pivotFmt>
        <c:idx val="0"/>
        <c:spPr>
          <a:solidFill>
            <a:srgbClr val="1565C0"/>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Summary!$B$13</c:f>
              <c:strCache>
                <c:ptCount val="1"/>
                <c:pt idx="0">
                  <c:v>Total</c:v>
                </c:pt>
              </c:strCache>
            </c:strRef>
          </c:tx>
          <c:spPr>
            <a:solidFill>
              <a:srgbClr val="1565C0"/>
            </a:solidFill>
          </c:spPr>
          <c:invertIfNegative val="0"/>
          <c:cat>
            <c:strRef>
              <c:f>Summary!$A$14:$A$32</c:f>
              <c:strCache>
                <c:ptCount val="18"/>
                <c:pt idx="0">
                  <c:v>02_Car Sales</c:v>
                </c:pt>
                <c:pt idx="1">
                  <c:v>03_Financial Services</c:v>
                </c:pt>
                <c:pt idx="2">
                  <c:v>04_Automotive OPS</c:v>
                </c:pt>
                <c:pt idx="3">
                  <c:v>05_Car Purchase</c:v>
                </c:pt>
                <c:pt idx="4">
                  <c:v>06_HR</c:v>
                </c:pt>
                <c:pt idx="5">
                  <c:v>07_Stock &amp; Logistics</c:v>
                </c:pt>
                <c:pt idx="6">
                  <c:v>08_Service</c:v>
                </c:pt>
                <c:pt idx="7">
                  <c:v>11_Call Centre</c:v>
                </c:pt>
                <c:pt idx="8">
                  <c:v>12_IT</c:v>
                </c:pt>
                <c:pt idx="9">
                  <c:v>16_Mototechna</c:v>
                </c:pt>
                <c:pt idx="10">
                  <c:v>21_Commerce</c:v>
                </c:pt>
                <c:pt idx="11">
                  <c:v>(blank)</c:v>
                </c:pt>
                <c:pt idx="12">
                  <c:v>22_Cost Control &amp; Back Office</c:v>
                </c:pt>
                <c:pt idx="13">
                  <c:v>10_Office Operations</c:v>
                </c:pt>
                <c:pt idx="14">
                  <c:v>09_Economic</c:v>
                </c:pt>
                <c:pt idx="15">
                  <c:v>01_Marketing &amp; Communication</c:v>
                </c:pt>
                <c:pt idx="16">
                  <c:v>18_Data Science</c:v>
                </c:pt>
                <c:pt idx="17">
                  <c:v>20_Innovations</c:v>
                </c:pt>
              </c:strCache>
            </c:strRef>
          </c:cat>
          <c:val>
            <c:numRef>
              <c:f>Summary!$B$14:$B$32</c:f>
              <c:numCache>
                <c:formatCode>General</c:formatCode>
                <c:ptCount val="18"/>
                <c:pt idx="0">
                  <c:v>20</c:v>
                </c:pt>
                <c:pt idx="1">
                  <c:v>8</c:v>
                </c:pt>
                <c:pt idx="2">
                  <c:v>38</c:v>
                </c:pt>
                <c:pt idx="3">
                  <c:v>14</c:v>
                </c:pt>
                <c:pt idx="4">
                  <c:v>0</c:v>
                </c:pt>
                <c:pt idx="5">
                  <c:v>9</c:v>
                </c:pt>
                <c:pt idx="6">
                  <c:v>5</c:v>
                </c:pt>
                <c:pt idx="7">
                  <c:v>5</c:v>
                </c:pt>
                <c:pt idx="8">
                  <c:v>0</c:v>
                </c:pt>
                <c:pt idx="9">
                  <c:v>0</c:v>
                </c:pt>
                <c:pt idx="10">
                  <c:v>0</c:v>
                </c:pt>
                <c:pt idx="12">
                  <c:v>1</c:v>
                </c:pt>
                <c:pt idx="13">
                  <c:v>2</c:v>
                </c:pt>
                <c:pt idx="14">
                  <c:v>0</c:v>
                </c:pt>
                <c:pt idx="15">
                  <c:v>0</c:v>
                </c:pt>
                <c:pt idx="16">
                  <c:v>0</c:v>
                </c:pt>
                <c:pt idx="17">
                  <c:v>0</c:v>
                </c:pt>
              </c:numCache>
            </c:numRef>
          </c:val>
          <c:extLst>
            <c:ext xmlns:c16="http://schemas.microsoft.com/office/drawing/2014/chart" uri="{C3380CC4-5D6E-409C-BE32-E72D297353CC}">
              <c16:uniqueId val="{00000000-4BD2-46C5-A9F2-064BD0E6CFCA}"/>
            </c:ext>
          </c:extLst>
        </c:ser>
        <c:dLbls>
          <c:showLegendKey val="0"/>
          <c:showVal val="0"/>
          <c:showCatName val="0"/>
          <c:showSerName val="0"/>
          <c:showPercent val="0"/>
          <c:showBubbleSize val="0"/>
        </c:dLbls>
        <c:gapWidth val="35"/>
        <c:axId val="10"/>
        <c:axId val="100"/>
      </c:barChart>
      <c:catAx>
        <c:axId val="10"/>
        <c:scaling>
          <c:orientation val="maxMin"/>
        </c:scaling>
        <c:delete val="0"/>
        <c:axPos val="l"/>
        <c:title>
          <c:tx>
            <c:rich>
              <a:bodyPr/>
              <a:lstStyle/>
              <a:p>
                <a:pPr>
                  <a:defRPr/>
                </a:pPr>
                <a:r>
                  <a:rPr lang="cs-CZ"/>
                  <a:t>Division</a:t>
                </a:r>
              </a:p>
            </c:rich>
          </c:tx>
          <c:overlay val="0"/>
        </c:title>
        <c:numFmt formatCode="General" sourceLinked="1"/>
        <c:majorTickMark val="none"/>
        <c:minorTickMark val="none"/>
        <c:tickLblPos val="nextTo"/>
        <c:spPr>
          <a:ln>
            <a:solidFill>
              <a:srgbClr val="C5D5E8"/>
            </a:solidFill>
            <a:prstDash val="solid"/>
          </a:ln>
        </c:spPr>
        <c:txPr>
          <a:bodyPr/>
          <a:lstStyle/>
          <a:p>
            <a:pPr>
              <a:defRPr sz="800">
                <a:solidFill>
                  <a:srgbClr val="263238"/>
                </a:solidFill>
                <a:latin typeface="Arial"/>
                <a:ea typeface="Arial"/>
                <a:cs typeface="Arial"/>
              </a:defRPr>
            </a:pPr>
            <a:endParaRPr lang="cs-CZ"/>
          </a:p>
        </c:txPr>
        <c:crossAx val="100"/>
        <c:crosses val="autoZero"/>
        <c:auto val="0"/>
        <c:lblAlgn val="ctr"/>
        <c:lblOffset val="100"/>
        <c:noMultiLvlLbl val="0"/>
      </c:catAx>
      <c:valAx>
        <c:axId val="100"/>
        <c:scaling>
          <c:orientation val="minMax"/>
        </c:scaling>
        <c:delete val="0"/>
        <c:axPos val="t"/>
        <c:majorGridlines>
          <c:spPr>
            <a:ln>
              <a:solidFill>
                <a:srgbClr val="E8F0FE"/>
              </a:solidFill>
              <a:prstDash val="solid"/>
            </a:ln>
          </c:spPr>
        </c:majorGridlines>
        <c:title>
          <c:tx>
            <c:rich>
              <a:bodyPr/>
              <a:lstStyle/>
              <a:p>
                <a:pPr>
                  <a:defRPr/>
                </a:pPr>
                <a:r>
                  <a:rPr lang="cs-CZ"/>
                  <a:t>VAC Count</a:t>
                </a:r>
              </a:p>
            </c:rich>
          </c:tx>
          <c:overlay val="0"/>
        </c:title>
        <c:numFmt formatCode="General" sourceLinked="1"/>
        <c:majorTickMark val="none"/>
        <c:minorTickMark val="none"/>
        <c:tickLblPos val="nextTo"/>
        <c:spPr>
          <a:ln>
            <a:solidFill>
              <a:srgbClr val="E3EDF8"/>
            </a:solidFill>
            <a:prstDash val="solid"/>
          </a:ln>
        </c:spPr>
        <c:txPr>
          <a:bodyPr/>
          <a:lstStyle/>
          <a:p>
            <a:pPr>
              <a:defRPr sz="800">
                <a:solidFill>
                  <a:srgbClr val="78909C"/>
                </a:solidFill>
                <a:latin typeface="Arial"/>
                <a:ea typeface="Arial"/>
                <a:cs typeface="Arial"/>
              </a:defRPr>
            </a:pPr>
            <a:endParaRPr lang="cs-CZ"/>
          </a:p>
        </c:txPr>
        <c:crossAx val="10"/>
        <c:crosses val="autoZero"/>
        <c:crossBetween val="between"/>
      </c:valAx>
      <c:spPr>
        <a:ln w="25400">
          <a:noFill/>
        </a:ln>
      </c:spPr>
    </c:plotArea>
    <c:plotVisOnly val="1"/>
    <c:dispBlanksAs val="gap"/>
    <c:showDLblsOverMax val="0"/>
  </c:chart>
  <c:spPr>
    <a:ln>
      <a:solidFill>
        <a:srgbClr val="C5D5E8"/>
      </a:solidFill>
      <a:prstDash val="solid"/>
    </a:ln>
  </c:sp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[VAC_actual1.xlsx]Summary!Kontingenční tabulka1</c:name>
    <c:fmtId val="0"/>
  </c:pivotSource>
  <c:chart>
    <c:title>
      <c:tx>
        <c:rich>
          <a:bodyPr/>
          <a:lstStyle/>
          <a:p>
            <a:pPr>
              <a:defRPr sz="1100" b="1">
                <a:solidFill>
                  <a:srgbClr val="003087"/>
                </a:solidFill>
                <a:latin typeface="Arial"/>
                <a:ea typeface="Arial"/>
                <a:cs typeface="Arial"/>
              </a:defRPr>
            </a:pPr>
            <a:r>
              <a:rPr lang="cs-CZ"/>
              <a:t>VAC Count by Branch</a:t>
            </a:r>
          </a:p>
        </c:rich>
      </c:tx>
      <c:overlay val="0"/>
    </c:title>
    <c:autoTitleDeleted val="0"/>
    <c:pivotFmts>
      <c:pivotFmt>
        <c:idx val="0"/>
        <c:spPr>
          <a:solidFill>
            <a:srgbClr val="1565C0"/>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Summary!$B$35</c:f>
              <c:strCache>
                <c:ptCount val="1"/>
                <c:pt idx="0">
                  <c:v>Total</c:v>
                </c:pt>
              </c:strCache>
            </c:strRef>
          </c:tx>
          <c:spPr>
            <a:solidFill>
              <a:srgbClr val="1565C0"/>
            </a:solidFill>
          </c:spPr>
          <c:invertIfNegative val="0"/>
          <c:cat>
            <c:strRef>
              <c:f>Summary!$A$36:$A$60</c:f>
              <c:strCache>
                <c:ptCount val="24"/>
                <c:pt idx="0">
                  <c:v>Prague Branch</c:v>
                </c:pt>
                <c:pt idx="1">
                  <c:v>Ostrava</c:v>
                </c:pt>
                <c:pt idx="2">
                  <c:v>Brno</c:v>
                </c:pt>
                <c:pt idx="3">
                  <c:v>Liberec</c:v>
                </c:pt>
                <c:pt idx="4">
                  <c:v>Teplice</c:v>
                </c:pt>
                <c:pt idx="5">
                  <c:v>České Budějovice</c:v>
                </c:pt>
                <c:pt idx="6">
                  <c:v>Čestlice</c:v>
                </c:pt>
                <c:pt idx="7">
                  <c:v>Sokolov</c:v>
                </c:pt>
                <c:pt idx="8">
                  <c:v>Kladno</c:v>
                </c:pt>
                <c:pt idx="9">
                  <c:v>Chomutov</c:v>
                </c:pt>
                <c:pt idx="10">
                  <c:v>Otrokovice</c:v>
                </c:pt>
                <c:pt idx="11">
                  <c:v>Kolín</c:v>
                </c:pt>
                <c:pt idx="12">
                  <c:v>Pardubice</c:v>
                </c:pt>
                <c:pt idx="13">
                  <c:v>Jihlava</c:v>
                </c:pt>
                <c:pt idx="14">
                  <c:v>Plzeň</c:v>
                </c:pt>
                <c:pt idx="15">
                  <c:v>Ústí nad Labem</c:v>
                </c:pt>
                <c:pt idx="16">
                  <c:v>Olomouc</c:v>
                </c:pt>
                <c:pt idx="17">
                  <c:v>Opava</c:v>
                </c:pt>
                <c:pt idx="18">
                  <c:v>Mladá Boleslav</c:v>
                </c:pt>
                <c:pt idx="19">
                  <c:v>Hradec Králové</c:v>
                </c:pt>
                <c:pt idx="20">
                  <c:v>Znojmo</c:v>
                </c:pt>
                <c:pt idx="21">
                  <c:v>Tábor</c:v>
                </c:pt>
                <c:pt idx="22">
                  <c:v>Klecany</c:v>
                </c:pt>
                <c:pt idx="23">
                  <c:v>Mototechna</c:v>
                </c:pt>
              </c:strCache>
            </c:strRef>
          </c:cat>
          <c:val>
            <c:numRef>
              <c:f>Summary!$B$36:$B$60</c:f>
              <c:numCache>
                <c:formatCode>General</c:formatCode>
                <c:ptCount val="24"/>
                <c:pt idx="0">
                  <c:v>13</c:v>
                </c:pt>
                <c:pt idx="1">
                  <c:v>10</c:v>
                </c:pt>
                <c:pt idx="2">
                  <c:v>8</c:v>
                </c:pt>
                <c:pt idx="3">
                  <c:v>6</c:v>
                </c:pt>
                <c:pt idx="4">
                  <c:v>6</c:v>
                </c:pt>
                <c:pt idx="5">
                  <c:v>6</c:v>
                </c:pt>
                <c:pt idx="6">
                  <c:v>5</c:v>
                </c:pt>
                <c:pt idx="7">
                  <c:v>4</c:v>
                </c:pt>
                <c:pt idx="8">
                  <c:v>3</c:v>
                </c:pt>
                <c:pt idx="9">
                  <c:v>3</c:v>
                </c:pt>
                <c:pt idx="10">
                  <c:v>3</c:v>
                </c:pt>
                <c:pt idx="11">
                  <c:v>2</c:v>
                </c:pt>
                <c:pt idx="12">
                  <c:v>2</c:v>
                </c:pt>
                <c:pt idx="13">
                  <c:v>2</c:v>
                </c:pt>
                <c:pt idx="14">
                  <c:v>2</c:v>
                </c:pt>
                <c:pt idx="15">
                  <c:v>2</c:v>
                </c:pt>
                <c:pt idx="16">
                  <c:v>2</c:v>
                </c:pt>
                <c:pt idx="17">
                  <c:v>1</c:v>
                </c:pt>
                <c:pt idx="18">
                  <c:v>1</c:v>
                </c:pt>
                <c:pt idx="19">
                  <c:v>1</c:v>
                </c:pt>
              </c:numCache>
            </c:numRef>
          </c:val>
          <c:extLst>
            <c:ext xmlns:c16="http://schemas.microsoft.com/office/drawing/2014/chart" uri="{C3380CC4-5D6E-409C-BE32-E72D297353CC}">
              <c16:uniqueId val="{00000000-C408-41A4-9D9D-F2F29B8D2201}"/>
            </c:ext>
          </c:extLst>
        </c:ser>
        <c:dLbls>
          <c:showLegendKey val="0"/>
          <c:showVal val="0"/>
          <c:showCatName val="0"/>
          <c:showSerName val="0"/>
          <c:showPercent val="0"/>
          <c:showBubbleSize val="0"/>
        </c:dLbls>
        <c:gapWidth val="35"/>
        <c:axId val="10"/>
        <c:axId val="100"/>
      </c:barChart>
      <c:catAx>
        <c:axId val="10"/>
        <c:scaling>
          <c:orientation val="maxMin"/>
        </c:scaling>
        <c:delete val="0"/>
        <c:axPos val="l"/>
        <c:title>
          <c:tx>
            <c:rich>
              <a:bodyPr/>
              <a:lstStyle/>
              <a:p>
                <a:pPr>
                  <a:defRPr/>
                </a:pPr>
                <a:r>
                  <a:rPr lang="cs-CZ"/>
                  <a:t>Branch</a:t>
                </a:r>
              </a:p>
            </c:rich>
          </c:tx>
          <c:overlay val="0"/>
        </c:title>
        <c:numFmt formatCode="General" sourceLinked="1"/>
        <c:majorTickMark val="none"/>
        <c:minorTickMark val="none"/>
        <c:tickLblPos val="nextTo"/>
        <c:spPr>
          <a:ln>
            <a:solidFill>
              <a:srgbClr val="C5D5E8"/>
            </a:solidFill>
            <a:prstDash val="solid"/>
          </a:ln>
        </c:spPr>
        <c:txPr>
          <a:bodyPr/>
          <a:lstStyle/>
          <a:p>
            <a:pPr>
              <a:defRPr sz="800">
                <a:solidFill>
                  <a:srgbClr val="263238"/>
                </a:solidFill>
                <a:latin typeface="Arial"/>
                <a:ea typeface="Arial"/>
                <a:cs typeface="Arial"/>
              </a:defRPr>
            </a:pPr>
            <a:endParaRPr lang="cs-CZ"/>
          </a:p>
        </c:txPr>
        <c:crossAx val="100"/>
        <c:crosses val="autoZero"/>
        <c:auto val="0"/>
        <c:lblAlgn val="ctr"/>
        <c:lblOffset val="100"/>
        <c:noMultiLvlLbl val="0"/>
      </c:catAx>
      <c:valAx>
        <c:axId val="100"/>
        <c:scaling>
          <c:orientation val="minMax"/>
        </c:scaling>
        <c:delete val="0"/>
        <c:axPos val="t"/>
        <c:majorGridlines>
          <c:spPr>
            <a:ln>
              <a:solidFill>
                <a:srgbClr val="E8F0FE"/>
              </a:solidFill>
              <a:prstDash val="solid"/>
            </a:ln>
          </c:spPr>
        </c:majorGridlines>
        <c:title>
          <c:tx>
            <c:rich>
              <a:bodyPr/>
              <a:lstStyle/>
              <a:p>
                <a:pPr>
                  <a:defRPr/>
                </a:pPr>
                <a:r>
                  <a:rPr lang="cs-CZ"/>
                  <a:t>VAC Count</a:t>
                </a:r>
              </a:p>
            </c:rich>
          </c:tx>
          <c:overlay val="0"/>
        </c:title>
        <c:numFmt formatCode="General" sourceLinked="1"/>
        <c:majorTickMark val="none"/>
        <c:minorTickMark val="none"/>
        <c:tickLblPos val="nextTo"/>
        <c:spPr>
          <a:ln>
            <a:solidFill>
              <a:srgbClr val="E3EDF8"/>
            </a:solidFill>
            <a:prstDash val="solid"/>
          </a:ln>
        </c:spPr>
        <c:txPr>
          <a:bodyPr/>
          <a:lstStyle/>
          <a:p>
            <a:pPr>
              <a:defRPr sz="800">
                <a:solidFill>
                  <a:srgbClr val="78909C"/>
                </a:solidFill>
                <a:latin typeface="Arial"/>
                <a:ea typeface="Arial"/>
                <a:cs typeface="Arial"/>
              </a:defRPr>
            </a:pPr>
            <a:endParaRPr lang="cs-CZ"/>
          </a:p>
        </c:txPr>
        <c:crossAx val="10"/>
        <c:crosses val="autoZero"/>
        <c:crossBetween val="between"/>
      </c:valAx>
      <c:spPr>
        <a:ln w="25400">
          <a:noFill/>
        </a:ln>
      </c:spPr>
    </c:plotArea>
    <c:plotVisOnly val="1"/>
    <c:dispBlanksAs val="gap"/>
    <c:showDLblsOverMax val="0"/>
  </c:chart>
  <c:spPr>
    <a:ln>
      <a:solidFill>
        <a:srgbClr val="C5D5E8"/>
      </a:solidFill>
      <a:prstDash val="solid"/>
    </a:ln>
  </c:sp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[VAC_actual1.xlsx]Summary!Kontingenční tabulka3</c:name>
    <c:fmtId val="0"/>
  </c:pivotSource>
  <c:chart>
    <c:title>
      <c:tx>
        <c:rich>
          <a:bodyPr/>
          <a:lstStyle/>
          <a:p>
            <a:pPr>
              <a:defRPr sz="1100" b="1">
                <a:solidFill>
                  <a:srgbClr val="003087"/>
                </a:solidFill>
                <a:latin typeface="Arial"/>
                <a:ea typeface="Arial"/>
                <a:cs typeface="Arial"/>
              </a:defRPr>
            </a:pPr>
            <a:r>
              <a:rPr lang="cs-CZ"/>
              <a:t>VAC Count by Consultant</a:t>
            </a:r>
          </a:p>
        </c:rich>
      </c:tx>
      <c:overlay val="0"/>
    </c:title>
    <c:autoTitleDeleted val="0"/>
    <c:pivotFmts>
      <c:pivotFmt>
        <c:idx val="0"/>
        <c:spPr>
          <a:solidFill>
            <a:srgbClr val="1565C0"/>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Summary!$B$63</c:f>
              <c:strCache>
                <c:ptCount val="1"/>
                <c:pt idx="0">
                  <c:v>Total</c:v>
                </c:pt>
              </c:strCache>
            </c:strRef>
          </c:tx>
          <c:spPr>
            <a:solidFill>
              <a:srgbClr val="1565C0"/>
            </a:solidFill>
          </c:spPr>
          <c:invertIfNegative val="0"/>
          <c:cat>
            <c:strRef>
              <c:f>Summary!$A$64:$A$71</c:f>
              <c:strCache>
                <c:ptCount val="7"/>
                <c:pt idx="0">
                  <c:v>Blanka</c:v>
                </c:pt>
                <c:pt idx="1">
                  <c:v>Mirka</c:v>
                </c:pt>
                <c:pt idx="2">
                  <c:v>Anna K.</c:v>
                </c:pt>
                <c:pt idx="3">
                  <c:v>Kamila</c:v>
                </c:pt>
                <c:pt idx="4">
                  <c:v>Kája</c:v>
                </c:pt>
                <c:pt idx="5">
                  <c:v>Ondra</c:v>
                </c:pt>
                <c:pt idx="6">
                  <c:v>Honza</c:v>
                </c:pt>
              </c:strCache>
            </c:strRef>
          </c:cat>
          <c:val>
            <c:numRef>
              <c:f>Summary!$B$64:$B$71</c:f>
              <c:numCache>
                <c:formatCode>General</c:formatCode>
                <c:ptCount val="7"/>
                <c:pt idx="0">
                  <c:v>22</c:v>
                </c:pt>
                <c:pt idx="1">
                  <c:v>21</c:v>
                </c:pt>
                <c:pt idx="2">
                  <c:v>20</c:v>
                </c:pt>
                <c:pt idx="3">
                  <c:v>17</c:v>
                </c:pt>
                <c:pt idx="4">
                  <c:v>10</c:v>
                </c:pt>
                <c:pt idx="5">
                  <c:v>7</c:v>
                </c:pt>
                <c:pt idx="6">
                  <c:v>5</c:v>
                </c:pt>
              </c:numCache>
            </c:numRef>
          </c:val>
          <c:extLst>
            <c:ext xmlns:c16="http://schemas.microsoft.com/office/drawing/2014/chart" uri="{C3380CC4-5D6E-409C-BE32-E72D297353CC}">
              <c16:uniqueId val="{00000000-852D-44BC-9587-BBC3AA26F2CB}"/>
            </c:ext>
          </c:extLst>
        </c:ser>
        <c:dLbls>
          <c:showLegendKey val="0"/>
          <c:showVal val="0"/>
          <c:showCatName val="0"/>
          <c:showSerName val="0"/>
          <c:showPercent val="0"/>
          <c:showBubbleSize val="0"/>
        </c:dLbls>
        <c:gapWidth val="35"/>
        <c:axId val="10"/>
        <c:axId val="100"/>
      </c:barChart>
      <c:catAx>
        <c:axId val="10"/>
        <c:scaling>
          <c:orientation val="minMax"/>
        </c:scaling>
        <c:delete val="0"/>
        <c:axPos val="b"/>
        <c:title>
          <c:tx>
            <c:rich>
              <a:bodyPr/>
              <a:lstStyle/>
              <a:p>
                <a:pPr>
                  <a:defRPr/>
                </a:pPr>
                <a:r>
                  <a:rPr lang="cs-CZ"/>
                  <a:t>Consultant</a:t>
                </a:r>
              </a:p>
            </c:rich>
          </c:tx>
          <c:overlay val="0"/>
        </c:title>
        <c:numFmt formatCode="General" sourceLinked="1"/>
        <c:majorTickMark val="none"/>
        <c:minorTickMark val="none"/>
        <c:tickLblPos val="nextTo"/>
        <c:spPr>
          <a:ln>
            <a:solidFill>
              <a:srgbClr val="C5D5E8"/>
            </a:solidFill>
            <a:prstDash val="solid"/>
          </a:ln>
        </c:spPr>
        <c:txPr>
          <a:bodyPr/>
          <a:lstStyle/>
          <a:p>
            <a:pPr>
              <a:defRPr sz="800">
                <a:solidFill>
                  <a:srgbClr val="263238"/>
                </a:solidFill>
                <a:latin typeface="Arial"/>
                <a:ea typeface="Arial"/>
                <a:cs typeface="Arial"/>
              </a:defRPr>
            </a:pPr>
            <a:endParaRPr lang="cs-CZ"/>
          </a:p>
        </c:txPr>
        <c:crossAx val="100"/>
        <c:crosses val="autoZero"/>
        <c:auto val="0"/>
        <c:lblAlgn val="ctr"/>
        <c:lblOffset val="100"/>
        <c:noMultiLvlLbl val="0"/>
      </c:catAx>
      <c:valAx>
        <c:axId val="100"/>
        <c:scaling>
          <c:orientation val="minMax"/>
        </c:scaling>
        <c:delete val="0"/>
        <c:axPos val="l"/>
        <c:majorGridlines>
          <c:spPr>
            <a:ln>
              <a:solidFill>
                <a:srgbClr val="E8F0FE"/>
              </a:solidFill>
              <a:prstDash val="solid"/>
            </a:ln>
          </c:spPr>
        </c:majorGridlines>
        <c:title>
          <c:tx>
            <c:rich>
              <a:bodyPr/>
              <a:lstStyle/>
              <a:p>
                <a:pPr>
                  <a:defRPr/>
                </a:pPr>
                <a:r>
                  <a:rPr lang="cs-CZ"/>
                  <a:t>VAC Count</a:t>
                </a:r>
              </a:p>
            </c:rich>
          </c:tx>
          <c:overlay val="0"/>
        </c:title>
        <c:numFmt formatCode="General" sourceLinked="1"/>
        <c:majorTickMark val="none"/>
        <c:minorTickMark val="none"/>
        <c:tickLblPos val="nextTo"/>
        <c:spPr>
          <a:ln>
            <a:solidFill>
              <a:srgbClr val="E3EDF8"/>
            </a:solidFill>
            <a:prstDash val="solid"/>
          </a:ln>
        </c:spPr>
        <c:txPr>
          <a:bodyPr/>
          <a:lstStyle/>
          <a:p>
            <a:pPr>
              <a:defRPr sz="800">
                <a:solidFill>
                  <a:srgbClr val="78909C"/>
                </a:solidFill>
                <a:latin typeface="Arial"/>
                <a:ea typeface="Arial"/>
                <a:cs typeface="Arial"/>
              </a:defRPr>
            </a:pPr>
            <a:endParaRPr lang="cs-CZ"/>
          </a:p>
        </c:txPr>
        <c:crossAx val="10"/>
        <c:crosses val="autoZero"/>
        <c:crossBetween val="between"/>
      </c:valAx>
      <c:spPr>
        <a:ln w="25400">
          <a:noFill/>
        </a:ln>
      </c:spPr>
    </c:plotArea>
    <c:plotVisOnly val="1"/>
    <c:dispBlanksAs val="gap"/>
    <c:showDLblsOverMax val="0"/>
  </c:chart>
  <c:spPr>
    <a:ln>
      <a:solidFill>
        <a:srgbClr val="C5D5E8"/>
      </a:solidFill>
      <a:prstDash val="solid"/>
    </a:ln>
  </c:sp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solidFill>
                  <a:srgbClr val="003087"/>
                </a:solidFill>
                <a:latin typeface="Arial"/>
                <a:ea typeface="Arial"/>
                <a:cs typeface="Arial"/>
              </a:defRPr>
            </a:pPr>
            <a:r>
              <a:rPr lang="cs-CZ"/>
              <a:t>Total VAC Trend Over Time</a:t>
            </a:r>
          </a:p>
        </c:rich>
      </c:tx>
      <c:overlay val="0"/>
    </c:title>
    <c:autoTitleDeleted val="0"/>
    <c:plotArea>
      <c:layout>
        <c:manualLayout>
          <c:layoutTarget val="inner"/>
          <c:xMode val="edge"/>
          <c:yMode val="edge"/>
          <c:x val="9.817435611246271E-2"/>
          <c:y val="0.22263258759321752"/>
          <c:w val="0.88336864868635612"/>
          <c:h val="0.38089613798275218"/>
        </c:manualLayout>
      </c:layout>
      <c:lineChart>
        <c:grouping val="standard"/>
        <c:varyColors val="0"/>
        <c:ser>
          <c:idx val="0"/>
          <c:order val="0"/>
          <c:tx>
            <c:strRef>
              <c:f>VAC_History!$B$1</c:f>
              <c:strCache>
                <c:ptCount val="1"/>
                <c:pt idx="0">
                  <c:v>Total VAC</c:v>
                </c:pt>
              </c:strCache>
            </c:strRef>
          </c:tx>
          <c:marker>
            <c:symbol val="circle"/>
            <c:size val="5"/>
            <c:spPr>
              <a:solidFill>
                <a:srgbClr val="1565C0"/>
              </a:solidFill>
              <a:ln>
                <a:solidFill>
                  <a:srgbClr val="FFFFFF"/>
                </a:solidFill>
                <a:prstDash val="solid"/>
              </a:ln>
            </c:spPr>
          </c:marker>
          <c:cat>
            <c:numRef>
              <c:f>VAC_History!$A$2:$A$58</c:f>
              <c:numCache>
                <c:formatCode>m/d/yyyy</c:formatCode>
                <c:ptCount val="57"/>
                <c:pt idx="0">
                  <c:v>45625</c:v>
                </c:pt>
                <c:pt idx="1">
                  <c:v>45642</c:v>
                </c:pt>
                <c:pt idx="2">
                  <c:v>45646</c:v>
                </c:pt>
                <c:pt idx="3">
                  <c:v>45656</c:v>
                </c:pt>
                <c:pt idx="4">
                  <c:v>45666</c:v>
                </c:pt>
                <c:pt idx="5">
                  <c:v>45674</c:v>
                </c:pt>
                <c:pt idx="6">
                  <c:v>45681</c:v>
                </c:pt>
                <c:pt idx="7">
                  <c:v>45695</c:v>
                </c:pt>
                <c:pt idx="8">
                  <c:v>45702</c:v>
                </c:pt>
                <c:pt idx="9">
                  <c:v>45709</c:v>
                </c:pt>
                <c:pt idx="10">
                  <c:v>45711</c:v>
                </c:pt>
                <c:pt idx="11">
                  <c:v>45716</c:v>
                </c:pt>
                <c:pt idx="12">
                  <c:v>45719</c:v>
                </c:pt>
                <c:pt idx="13">
                  <c:v>45721</c:v>
                </c:pt>
                <c:pt idx="14">
                  <c:v>45722</c:v>
                </c:pt>
                <c:pt idx="15">
                  <c:v>45727</c:v>
                </c:pt>
                <c:pt idx="16">
                  <c:v>45730</c:v>
                </c:pt>
                <c:pt idx="17">
                  <c:v>45735</c:v>
                </c:pt>
                <c:pt idx="18">
                  <c:v>45736</c:v>
                </c:pt>
                <c:pt idx="19">
                  <c:v>45743</c:v>
                </c:pt>
                <c:pt idx="20">
                  <c:v>45744</c:v>
                </c:pt>
                <c:pt idx="21">
                  <c:v>45750</c:v>
                </c:pt>
                <c:pt idx="22">
                  <c:v>45751</c:v>
                </c:pt>
                <c:pt idx="23">
                  <c:v>45756</c:v>
                </c:pt>
                <c:pt idx="24">
                  <c:v>45758</c:v>
                </c:pt>
                <c:pt idx="25">
                  <c:v>45770</c:v>
                </c:pt>
                <c:pt idx="26">
                  <c:v>45772</c:v>
                </c:pt>
                <c:pt idx="27">
                  <c:v>45775</c:v>
                </c:pt>
                <c:pt idx="28">
                  <c:v>45785</c:v>
                </c:pt>
                <c:pt idx="29">
                  <c:v>45786</c:v>
                </c:pt>
                <c:pt idx="30">
                  <c:v>45792</c:v>
                </c:pt>
                <c:pt idx="31">
                  <c:v>45799</c:v>
                </c:pt>
                <c:pt idx="32">
                  <c:v>45800</c:v>
                </c:pt>
                <c:pt idx="33">
                  <c:v>45803</c:v>
                </c:pt>
                <c:pt idx="34">
                  <c:v>45804</c:v>
                </c:pt>
                <c:pt idx="35">
                  <c:v>45806</c:v>
                </c:pt>
                <c:pt idx="36">
                  <c:v>45082</c:v>
                </c:pt>
                <c:pt idx="37">
                  <c:v>45819</c:v>
                </c:pt>
                <c:pt idx="38">
                  <c:v>45821</c:v>
                </c:pt>
                <c:pt idx="39">
                  <c:v>45827</c:v>
                </c:pt>
                <c:pt idx="40">
                  <c:v>45834</c:v>
                </c:pt>
                <c:pt idx="41">
                  <c:v>45842</c:v>
                </c:pt>
                <c:pt idx="42">
                  <c:v>45848</c:v>
                </c:pt>
                <c:pt idx="43">
                  <c:v>45894</c:v>
                </c:pt>
                <c:pt idx="44">
                  <c:v>45905</c:v>
                </c:pt>
                <c:pt idx="45">
                  <c:v>45932</c:v>
                </c:pt>
                <c:pt idx="46">
                  <c:v>45954</c:v>
                </c:pt>
                <c:pt idx="47">
                  <c:v>45960</c:v>
                </c:pt>
                <c:pt idx="48">
                  <c:v>45975</c:v>
                </c:pt>
                <c:pt idx="49">
                  <c:v>45985</c:v>
                </c:pt>
                <c:pt idx="50">
                  <c:v>45988</c:v>
                </c:pt>
                <c:pt idx="51">
                  <c:v>45995</c:v>
                </c:pt>
                <c:pt idx="52">
                  <c:v>46002</c:v>
                </c:pt>
                <c:pt idx="53">
                  <c:v>46009</c:v>
                </c:pt>
                <c:pt idx="54">
                  <c:v>46030</c:v>
                </c:pt>
                <c:pt idx="55">
                  <c:v>46065</c:v>
                </c:pt>
                <c:pt idx="56">
                  <c:v>46084</c:v>
                </c:pt>
              </c:numCache>
            </c:numRef>
          </c:cat>
          <c:val>
            <c:numRef>
              <c:f>VAC_History!$B$2:$B$58</c:f>
              <c:numCache>
                <c:formatCode>General</c:formatCode>
                <c:ptCount val="57"/>
                <c:pt idx="0">
                  <c:v>70.75</c:v>
                </c:pt>
                <c:pt idx="1">
                  <c:v>66.25</c:v>
                </c:pt>
                <c:pt idx="2">
                  <c:v>67.25</c:v>
                </c:pt>
                <c:pt idx="3">
                  <c:v>67.25</c:v>
                </c:pt>
                <c:pt idx="4">
                  <c:v>59.25</c:v>
                </c:pt>
                <c:pt idx="5">
                  <c:v>76.5</c:v>
                </c:pt>
                <c:pt idx="6">
                  <c:v>78.5</c:v>
                </c:pt>
                <c:pt idx="7">
                  <c:v>112</c:v>
                </c:pt>
                <c:pt idx="8">
                  <c:v>119</c:v>
                </c:pt>
                <c:pt idx="9">
                  <c:v>121.25</c:v>
                </c:pt>
                <c:pt idx="10">
                  <c:v>121.25</c:v>
                </c:pt>
                <c:pt idx="11">
                  <c:v>128.75</c:v>
                </c:pt>
                <c:pt idx="12">
                  <c:v>142</c:v>
                </c:pt>
                <c:pt idx="13">
                  <c:v>143.25</c:v>
                </c:pt>
                <c:pt idx="14">
                  <c:v>140.25</c:v>
                </c:pt>
                <c:pt idx="15">
                  <c:v>142.25</c:v>
                </c:pt>
                <c:pt idx="16">
                  <c:v>132</c:v>
                </c:pt>
                <c:pt idx="17">
                  <c:v>133</c:v>
                </c:pt>
                <c:pt idx="18">
                  <c:v>131</c:v>
                </c:pt>
                <c:pt idx="19">
                  <c:v>131</c:v>
                </c:pt>
                <c:pt idx="20">
                  <c:v>133.5</c:v>
                </c:pt>
                <c:pt idx="21">
                  <c:v>121.25</c:v>
                </c:pt>
                <c:pt idx="22">
                  <c:v>134.25</c:v>
                </c:pt>
                <c:pt idx="23">
                  <c:v>129.25</c:v>
                </c:pt>
                <c:pt idx="24">
                  <c:v>120.25</c:v>
                </c:pt>
                <c:pt idx="25">
                  <c:v>118.25</c:v>
                </c:pt>
                <c:pt idx="26">
                  <c:v>123.25</c:v>
                </c:pt>
                <c:pt idx="27">
                  <c:v>121.25</c:v>
                </c:pt>
                <c:pt idx="28">
                  <c:v>118.25</c:v>
                </c:pt>
                <c:pt idx="29">
                  <c:v>123.25</c:v>
                </c:pt>
                <c:pt idx="30">
                  <c:v>121.25</c:v>
                </c:pt>
                <c:pt idx="31">
                  <c:v>138.5</c:v>
                </c:pt>
                <c:pt idx="32">
                  <c:v>140</c:v>
                </c:pt>
                <c:pt idx="33">
                  <c:v>132.5</c:v>
                </c:pt>
                <c:pt idx="34">
                  <c:v>128.75</c:v>
                </c:pt>
                <c:pt idx="35">
                  <c:v>130.5</c:v>
                </c:pt>
                <c:pt idx="36">
                  <c:v>129</c:v>
                </c:pt>
                <c:pt idx="37">
                  <c:v>121</c:v>
                </c:pt>
                <c:pt idx="38">
                  <c:v>116</c:v>
                </c:pt>
                <c:pt idx="39">
                  <c:v>119</c:v>
                </c:pt>
                <c:pt idx="40">
                  <c:v>115</c:v>
                </c:pt>
                <c:pt idx="41">
                  <c:v>107</c:v>
                </c:pt>
                <c:pt idx="42">
                  <c:v>114</c:v>
                </c:pt>
                <c:pt idx="43">
                  <c:v>110</c:v>
                </c:pt>
                <c:pt idx="44">
                  <c:v>87</c:v>
                </c:pt>
                <c:pt idx="45">
                  <c:v>120</c:v>
                </c:pt>
                <c:pt idx="46">
                  <c:v>105</c:v>
                </c:pt>
                <c:pt idx="47">
                  <c:v>105</c:v>
                </c:pt>
                <c:pt idx="48">
                  <c:v>80</c:v>
                </c:pt>
                <c:pt idx="49">
                  <c:v>78</c:v>
                </c:pt>
                <c:pt idx="50">
                  <c:v>71</c:v>
                </c:pt>
                <c:pt idx="51">
                  <c:v>59</c:v>
                </c:pt>
                <c:pt idx="52">
                  <c:v>64</c:v>
                </c:pt>
                <c:pt idx="53">
                  <c:v>63</c:v>
                </c:pt>
                <c:pt idx="54">
                  <c:v>68</c:v>
                </c:pt>
                <c:pt idx="55">
                  <c:v>94</c:v>
                </c:pt>
                <c:pt idx="56">
                  <c:v>103</c:v>
                </c:pt>
              </c:numCache>
            </c:numRef>
          </c:val>
          <c:smooth val="1"/>
          <c:extLst>
            <c:ext xmlns:c16="http://schemas.microsoft.com/office/drawing/2014/chart" uri="{C3380CC4-5D6E-409C-BE32-E72D297353CC}">
              <c16:uniqueId val="{00000003-3D3F-4566-8559-ED6FB7D0DFD8}"/>
            </c:ext>
          </c:extLst>
        </c:ser>
        <c:dLbls>
          <c:showLegendKey val="0"/>
          <c:showVal val="0"/>
          <c:showCatName val="0"/>
          <c:showSerName val="0"/>
          <c:showPercent val="0"/>
          <c:showBubbleSize val="0"/>
        </c:dLbls>
        <c:marker val="1"/>
        <c:smooth val="0"/>
        <c:axId val="10"/>
        <c:axId val="100"/>
      </c:lineChart>
      <c:dateAx>
        <c:axId val="10"/>
        <c:scaling>
          <c:orientation val="minMax"/>
          <c:min val="45625"/>
        </c:scaling>
        <c:delete val="0"/>
        <c:axPos val="b"/>
        <c:title>
          <c:tx>
            <c:rich>
              <a:bodyPr/>
              <a:lstStyle/>
              <a:p>
                <a:pPr>
                  <a:defRPr/>
                </a:pPr>
                <a:r>
                  <a:rPr lang="cs-CZ"/>
                  <a:t>Date</a:t>
                </a:r>
              </a:p>
            </c:rich>
          </c:tx>
          <c:overlay val="0"/>
        </c:title>
        <c:numFmt formatCode="m/d/yyyy" sourceLinked="1"/>
        <c:majorTickMark val="in"/>
        <c:minorTickMark val="none"/>
        <c:tickLblPos val="nextTo"/>
        <c:spPr>
          <a:ln>
            <a:solidFill>
              <a:srgbClr val="C5D5E8"/>
            </a:solidFill>
            <a:prstDash val="solid"/>
          </a:ln>
        </c:spPr>
        <c:txPr>
          <a:bodyPr/>
          <a:lstStyle/>
          <a:p>
            <a:pPr>
              <a:defRPr sz="800">
                <a:ln>
                  <a:noFill/>
                </a:ln>
                <a:solidFill>
                  <a:srgbClr val="263238"/>
                </a:solidFill>
                <a:latin typeface="Arial"/>
                <a:ea typeface="Arial"/>
                <a:cs typeface="Arial"/>
              </a:defRPr>
            </a:pPr>
            <a:endParaRPr lang="cs-CZ"/>
          </a:p>
        </c:txPr>
        <c:crossAx val="100"/>
        <c:crosses val="autoZero"/>
        <c:auto val="0"/>
        <c:lblOffset val="100"/>
        <c:baseTimeUnit val="days"/>
      </c:dateAx>
      <c:valAx>
        <c:axId val="100"/>
        <c:scaling>
          <c:orientation val="minMax"/>
          <c:min val="40"/>
        </c:scaling>
        <c:delete val="0"/>
        <c:axPos val="l"/>
        <c:majorGridlines>
          <c:spPr>
            <a:ln>
              <a:solidFill>
                <a:srgbClr val="E8F0FE"/>
              </a:solidFill>
              <a:prstDash val="solid"/>
            </a:ln>
          </c:spPr>
        </c:majorGridlines>
        <c:title>
          <c:tx>
            <c:rich>
              <a:bodyPr/>
              <a:lstStyle/>
              <a:p>
                <a:pPr>
                  <a:defRPr/>
                </a:pPr>
                <a:r>
                  <a:rPr lang="cs-CZ"/>
                  <a:t>Total VAC</a:t>
                </a:r>
              </a:p>
            </c:rich>
          </c:tx>
          <c:overlay val="0"/>
        </c:title>
        <c:numFmt formatCode="General" sourceLinked="1"/>
        <c:majorTickMark val="none"/>
        <c:minorTickMark val="none"/>
        <c:tickLblPos val="nextTo"/>
        <c:spPr>
          <a:ln>
            <a:solidFill>
              <a:srgbClr val="E3EDF8"/>
            </a:solidFill>
            <a:prstDash val="solid"/>
          </a:ln>
        </c:spPr>
        <c:txPr>
          <a:bodyPr/>
          <a:lstStyle/>
          <a:p>
            <a:pPr>
              <a:defRPr sz="800">
                <a:solidFill>
                  <a:srgbClr val="78909C"/>
                </a:solidFill>
                <a:latin typeface="Arial"/>
                <a:ea typeface="Arial"/>
                <a:cs typeface="Arial"/>
              </a:defRPr>
            </a:pPr>
            <a:endParaRPr lang="cs-CZ"/>
          </a:p>
        </c:txPr>
        <c:crossAx val="10"/>
        <c:crosses val="autoZero"/>
        <c:crossBetween val="between"/>
      </c:valAx>
      <c:spPr>
        <a:ln w="25400">
          <a:noFill/>
        </a:ln>
      </c:spPr>
    </c:plotArea>
    <c:plotVisOnly val="1"/>
    <c:dispBlanksAs val="gap"/>
    <c:showDLblsOverMax val="0"/>
  </c:chart>
  <c:spPr>
    <a:ln>
      <a:solidFill>
        <a:srgbClr val="C5D5E8"/>
      </a:solidFill>
      <a:prstDash val="solid"/>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[VAC_actual1.xlsx]Summary!Kontingenční tabulka5</c:name>
    <c:fmtId val="0"/>
  </c:pivotSource>
  <c:chart>
    <c:title>
      <c:tx>
        <c:rich>
          <a:bodyPr/>
          <a:lstStyle/>
          <a:p>
            <a:pPr>
              <a:defRPr sz="1100" b="1">
                <a:solidFill>
                  <a:srgbClr val="003087"/>
                </a:solidFill>
                <a:latin typeface="Arial"/>
                <a:ea typeface="Arial"/>
                <a:cs typeface="Arial"/>
              </a:defRPr>
            </a:pPr>
            <a:r>
              <a:rPr lang="cs-CZ"/>
              <a:t>VAC Count by Hiring Manager</a:t>
            </a:r>
          </a:p>
        </c:rich>
      </c:tx>
      <c:overlay val="0"/>
    </c:title>
    <c:autoTitleDeleted val="0"/>
    <c:pivotFmts>
      <c:pivotFmt>
        <c:idx val="0"/>
        <c:spPr>
          <a:solidFill>
            <a:srgbClr val="1565C0"/>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Summary!$B$73</c:f>
              <c:strCache>
                <c:ptCount val="1"/>
                <c:pt idx="0">
                  <c:v>Total</c:v>
                </c:pt>
              </c:strCache>
            </c:strRef>
          </c:tx>
          <c:spPr>
            <a:solidFill>
              <a:srgbClr val="1565C0"/>
            </a:solidFill>
          </c:spPr>
          <c:invertIfNegative val="0"/>
          <c:cat>
            <c:strRef>
              <c:f>Summary!$A$74:$A$103</c:f>
              <c:strCache>
                <c:ptCount val="29"/>
                <c:pt idx="0">
                  <c:v>Jan Sokola</c:v>
                </c:pt>
                <c:pt idx="1">
                  <c:v>Čížek Martin</c:v>
                </c:pt>
                <c:pt idx="2">
                  <c:v>Jan Malchar</c:v>
                </c:pt>
                <c:pt idx="3">
                  <c:v>Jan Kovář</c:v>
                </c:pt>
                <c:pt idx="4">
                  <c:v>Miroslav Knap</c:v>
                </c:pt>
                <c:pt idx="5">
                  <c:v>Martin Kotlán</c:v>
                </c:pt>
                <c:pt idx="6">
                  <c:v>Alen Svoboda</c:v>
                </c:pt>
                <c:pt idx="7">
                  <c:v>Miroslav Varmuža</c:v>
                </c:pt>
                <c:pt idx="8">
                  <c:v>Borovec Josef</c:v>
                </c:pt>
                <c:pt idx="9">
                  <c:v>Jiří Peška</c:v>
                </c:pt>
                <c:pt idx="10">
                  <c:v>Petr Kuchynka</c:v>
                </c:pt>
                <c:pt idx="11">
                  <c:v>Andrea Habětínková</c:v>
                </c:pt>
                <c:pt idx="12">
                  <c:v>Petr Kalabis</c:v>
                </c:pt>
                <c:pt idx="13">
                  <c:v>Martin Kostelka</c:v>
                </c:pt>
                <c:pt idx="14">
                  <c:v>Lukáš Geršic</c:v>
                </c:pt>
                <c:pt idx="15">
                  <c:v>Tomáš Krmela</c:v>
                </c:pt>
                <c:pt idx="16">
                  <c:v>Jan Zvikl</c:v>
                </c:pt>
                <c:pt idx="17">
                  <c:v>Alexandr Jordanov</c:v>
                </c:pt>
                <c:pt idx="18">
                  <c:v>Michaela Kosinerová</c:v>
                </c:pt>
                <c:pt idx="19">
                  <c:v>Jiří Somol</c:v>
                </c:pt>
                <c:pt idx="20">
                  <c:v>Petr Rinda</c:v>
                </c:pt>
                <c:pt idx="21">
                  <c:v>Ludvík Zawora</c:v>
                </c:pt>
                <c:pt idx="22">
                  <c:v>Filip Lukašek</c:v>
                </c:pt>
                <c:pt idx="23">
                  <c:v>Tomáš Kaprálek</c:v>
                </c:pt>
                <c:pt idx="24">
                  <c:v>Ondřej Holub</c:v>
                </c:pt>
                <c:pt idx="25">
                  <c:v>Žerebný Michal</c:v>
                </c:pt>
                <c:pt idx="26">
                  <c:v>Vojta Toráč</c:v>
                </c:pt>
                <c:pt idx="27">
                  <c:v>
</c:v>
                </c:pt>
                <c:pt idx="28">
                  <c:v>(blank)</c:v>
                </c:pt>
              </c:strCache>
            </c:strRef>
          </c:cat>
          <c:val>
            <c:numRef>
              <c:f>Summary!$B$74:$B$103</c:f>
              <c:numCache>
                <c:formatCode>General</c:formatCode>
                <c:ptCount val="29"/>
                <c:pt idx="0">
                  <c:v>15</c:v>
                </c:pt>
                <c:pt idx="1">
                  <c:v>13</c:v>
                </c:pt>
                <c:pt idx="2">
                  <c:v>10</c:v>
                </c:pt>
                <c:pt idx="3">
                  <c:v>5</c:v>
                </c:pt>
                <c:pt idx="4">
                  <c:v>5</c:v>
                </c:pt>
                <c:pt idx="5">
                  <c:v>5</c:v>
                </c:pt>
                <c:pt idx="6">
                  <c:v>5</c:v>
                </c:pt>
                <c:pt idx="7">
                  <c:v>5</c:v>
                </c:pt>
                <c:pt idx="8">
                  <c:v>5</c:v>
                </c:pt>
                <c:pt idx="9">
                  <c:v>4</c:v>
                </c:pt>
                <c:pt idx="10">
                  <c:v>4</c:v>
                </c:pt>
                <c:pt idx="11">
                  <c:v>3</c:v>
                </c:pt>
                <c:pt idx="12">
                  <c:v>3</c:v>
                </c:pt>
                <c:pt idx="13">
                  <c:v>3</c:v>
                </c:pt>
                <c:pt idx="14">
                  <c:v>3</c:v>
                </c:pt>
                <c:pt idx="15">
                  <c:v>2</c:v>
                </c:pt>
                <c:pt idx="16">
                  <c:v>2</c:v>
                </c:pt>
                <c:pt idx="17">
                  <c:v>2</c:v>
                </c:pt>
                <c:pt idx="18">
                  <c:v>1</c:v>
                </c:pt>
                <c:pt idx="19">
                  <c:v>1</c:v>
                </c:pt>
                <c:pt idx="20">
                  <c:v>1</c:v>
                </c:pt>
                <c:pt idx="21">
                  <c:v>1</c:v>
                </c:pt>
                <c:pt idx="22">
                  <c:v>1</c:v>
                </c:pt>
                <c:pt idx="23">
                  <c:v>1</c:v>
                </c:pt>
                <c:pt idx="24">
                  <c:v>1</c:v>
                </c:pt>
                <c:pt idx="25">
                  <c:v>1</c:v>
                </c:pt>
                <c:pt idx="26">
                  <c:v>0</c:v>
                </c:pt>
                <c:pt idx="28">
                  <c:v>0</c:v>
                </c:pt>
              </c:numCache>
            </c:numRef>
          </c:val>
          <c:extLst>
            <c:ext xmlns:c16="http://schemas.microsoft.com/office/drawing/2014/chart" uri="{C3380CC4-5D6E-409C-BE32-E72D297353CC}">
              <c16:uniqueId val="{00000000-074F-4F54-81E7-BF11E4C028CE}"/>
            </c:ext>
          </c:extLst>
        </c:ser>
        <c:dLbls>
          <c:showLegendKey val="0"/>
          <c:showVal val="0"/>
          <c:showCatName val="0"/>
          <c:showSerName val="0"/>
          <c:showPercent val="0"/>
          <c:showBubbleSize val="0"/>
        </c:dLbls>
        <c:gapWidth val="35"/>
        <c:axId val="10"/>
        <c:axId val="100"/>
      </c:barChart>
      <c:catAx>
        <c:axId val="10"/>
        <c:scaling>
          <c:orientation val="maxMin"/>
        </c:scaling>
        <c:delete val="0"/>
        <c:axPos val="l"/>
        <c:title>
          <c:tx>
            <c:rich>
              <a:bodyPr/>
              <a:lstStyle/>
              <a:p>
                <a:pPr>
                  <a:defRPr/>
                </a:pPr>
                <a:r>
                  <a:rPr lang="cs-CZ"/>
                  <a:t>Hiring Manager</a:t>
                </a:r>
              </a:p>
            </c:rich>
          </c:tx>
          <c:overlay val="0"/>
        </c:title>
        <c:numFmt formatCode="General" sourceLinked="1"/>
        <c:majorTickMark val="none"/>
        <c:minorTickMark val="none"/>
        <c:tickLblPos val="nextTo"/>
        <c:spPr>
          <a:ln>
            <a:solidFill>
              <a:srgbClr val="C5D5E8"/>
            </a:solidFill>
            <a:prstDash val="solid"/>
          </a:ln>
        </c:spPr>
        <c:txPr>
          <a:bodyPr/>
          <a:lstStyle/>
          <a:p>
            <a:pPr>
              <a:defRPr sz="800">
                <a:solidFill>
                  <a:srgbClr val="263238"/>
                </a:solidFill>
                <a:latin typeface="Arial"/>
                <a:ea typeface="Arial"/>
                <a:cs typeface="Arial"/>
              </a:defRPr>
            </a:pPr>
            <a:endParaRPr lang="cs-CZ"/>
          </a:p>
        </c:txPr>
        <c:crossAx val="100"/>
        <c:crosses val="autoZero"/>
        <c:auto val="0"/>
        <c:lblAlgn val="ctr"/>
        <c:lblOffset val="100"/>
        <c:noMultiLvlLbl val="0"/>
      </c:catAx>
      <c:valAx>
        <c:axId val="100"/>
        <c:scaling>
          <c:orientation val="minMax"/>
        </c:scaling>
        <c:delete val="0"/>
        <c:axPos val="t"/>
        <c:majorGridlines>
          <c:spPr>
            <a:ln>
              <a:solidFill>
                <a:srgbClr val="E8F0FE"/>
              </a:solidFill>
              <a:prstDash val="solid"/>
            </a:ln>
          </c:spPr>
        </c:majorGridlines>
        <c:title>
          <c:tx>
            <c:rich>
              <a:bodyPr/>
              <a:lstStyle/>
              <a:p>
                <a:pPr>
                  <a:defRPr/>
                </a:pPr>
                <a:r>
                  <a:rPr lang="cs-CZ"/>
                  <a:t>VAC Count</a:t>
                </a:r>
              </a:p>
            </c:rich>
          </c:tx>
          <c:overlay val="0"/>
        </c:title>
        <c:numFmt formatCode="General" sourceLinked="1"/>
        <c:majorTickMark val="none"/>
        <c:minorTickMark val="none"/>
        <c:tickLblPos val="nextTo"/>
        <c:spPr>
          <a:ln>
            <a:solidFill>
              <a:srgbClr val="E3EDF8"/>
            </a:solidFill>
            <a:prstDash val="solid"/>
          </a:ln>
        </c:spPr>
        <c:txPr>
          <a:bodyPr/>
          <a:lstStyle/>
          <a:p>
            <a:pPr>
              <a:defRPr sz="800">
                <a:solidFill>
                  <a:srgbClr val="78909C"/>
                </a:solidFill>
                <a:latin typeface="Arial"/>
                <a:ea typeface="Arial"/>
                <a:cs typeface="Arial"/>
              </a:defRPr>
            </a:pPr>
            <a:endParaRPr lang="cs-CZ"/>
          </a:p>
        </c:txPr>
        <c:crossAx val="10"/>
        <c:crosses val="autoZero"/>
        <c:crossBetween val="between"/>
      </c:valAx>
      <c:spPr>
        <a:ln w="25400">
          <a:noFill/>
        </a:ln>
      </c:spPr>
    </c:plotArea>
    <c:plotVisOnly val="1"/>
    <c:dispBlanksAs val="gap"/>
    <c:showDLblsOverMax val="0"/>
  </c:chart>
  <c:spPr>
    <a:ln>
      <a:solidFill>
        <a:srgbClr val="C5D5E8"/>
      </a:solidFill>
      <a:prstDash val="solid"/>
    </a:ln>
  </c:sp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127000</xdr:colOff>
      <xdr:row>12</xdr:row>
      <xdr:rowOff>121920</xdr:rowOff>
    </xdr:from>
    <xdr:ext cx="7366000" cy="48895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127000</xdr:colOff>
      <xdr:row>44</xdr:row>
      <xdr:rowOff>35560</xdr:rowOff>
    </xdr:from>
    <xdr:ext cx="7366000" cy="5905500"/>
    <xdr:graphicFrame macro="">
      <xdr:nvGraphicFramePr>
        <xdr:cNvPr id="3" name="Chart 2">
          <a:extLst>
            <a:ext uri="{FF2B5EF4-FFF2-40B4-BE49-F238E27FC236}">
              <a16:creationId xmlns:a16="http://schemas.microsoft.com/office/drawing/2014/main" id="{00000000-0008-0000-0300-000003000000}"/>
            </a:ext>
            <a:ext uri="{147F2762-F138-4A5C-976F-8EAC2B608ADB}">
              <a16:predDERef xmlns:a16="http://schemas.microsoft.com/office/drawing/2014/main" pre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2</xdr:col>
      <xdr:colOff>127000</xdr:colOff>
      <xdr:row>82</xdr:row>
      <xdr:rowOff>27940</xdr:rowOff>
    </xdr:from>
    <xdr:ext cx="7366000" cy="2540000"/>
    <xdr:graphicFrame macro="">
      <xdr:nvGraphicFramePr>
        <xdr:cNvPr id="4" name="Chart 3">
          <a:extLst>
            <a:ext uri="{FF2B5EF4-FFF2-40B4-BE49-F238E27FC236}">
              <a16:creationId xmlns:a16="http://schemas.microsoft.com/office/drawing/2014/main" id="{00000000-0008-0000-0300-000004000000}"/>
            </a:ext>
            <a:ext uri="{147F2762-F138-4A5C-976F-8EAC2B608ADB}">
              <a16:predDERef xmlns:a16="http://schemas.microsoft.com/office/drawing/2014/main" pre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2</xdr:col>
      <xdr:colOff>127000</xdr:colOff>
      <xdr:row>0</xdr:row>
      <xdr:rowOff>127000</xdr:rowOff>
    </xdr:from>
    <xdr:ext cx="7366000" cy="2349500"/>
    <xdr:graphicFrame macro="">
      <xdr:nvGraphicFramePr>
        <xdr:cNvPr id="6" name="Chart 5">
          <a:extLst>
            <a:ext uri="{FF2B5EF4-FFF2-40B4-BE49-F238E27FC236}">
              <a16:creationId xmlns:a16="http://schemas.microsoft.com/office/drawing/2014/main" id="{00000000-0008-0000-0300-000006000000}"/>
            </a:ext>
            <a:ext uri="{147F2762-F138-4A5C-976F-8EAC2B608ADB}">
              <a16:predDERef xmlns:a16="http://schemas.microsoft.com/office/drawing/2014/main" pre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2</xdr:col>
      <xdr:colOff>127000</xdr:colOff>
      <xdr:row>97</xdr:row>
      <xdr:rowOff>167640</xdr:rowOff>
    </xdr:from>
    <xdr:ext cx="7366000" cy="5334000"/>
    <xdr:graphicFrame macro="">
      <xdr:nvGraphicFramePr>
        <xdr:cNvPr id="7" name="Chart 6">
          <a:extLst>
            <a:ext uri="{FF2B5EF4-FFF2-40B4-BE49-F238E27FC236}">
              <a16:creationId xmlns:a16="http://schemas.microsoft.com/office/drawing/2014/main" id="{00000000-0008-0000-0300-000007000000}"/>
            </a:ext>
            <a:ext uri="{147F2762-F138-4A5C-976F-8EAC2B608ADB}">
              <a16:predDERef xmlns:a16="http://schemas.microsoft.com/office/drawing/2014/main" pre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85.630816550925" createdVersion="8" refreshedVersion="8" minRefreshableVersion="3" recordCount="210" xr:uid="{D3285D98-F245-41E6-B085-916EC90E79F0}">
  <cacheSource type="worksheet">
    <worksheetSource name="tblVacancies"/>
  </cacheSource>
  <cacheFields count="17">
    <cacheField name="RPL / NEW" numFmtId="0">
      <sharedItems containsBlank="1"/>
    </cacheField>
    <cacheField name="Comment" numFmtId="0">
      <sharedItems containsBlank="1"/>
    </cacheField>
    <cacheField name="Place" numFmtId="0">
      <sharedItems containsBlank="1" count="35">
        <s v="Prague HQ / BO"/>
        <s v="Ostrava"/>
        <s v="Brno"/>
        <s v="Kladno"/>
        <s v="Liberec"/>
        <s v="České Budějovice"/>
        <s v="Mototechna"/>
        <s v="Zličín"/>
        <s v="Prague Branch"/>
        <s v="Čestlice"/>
        <s v="Příbram"/>
        <s v="Klecany"/>
        <m/>
        <s v="Chomutov"/>
        <s v="Plzeň"/>
        <s v="Sokolov"/>
        <s v="Tábor"/>
        <s v="Hradec Králové"/>
        <s v="Kolín"/>
        <s v="Mladá Boleslav"/>
        <s v="Teplice"/>
        <s v="Ústí nad Labem"/>
        <s v="Jihlava"/>
        <s v="Olomouc"/>
        <s v="Znojmo"/>
        <s v="Opava"/>
        <s v="Pardubice"/>
        <s v="Otrokovice"/>
        <s v=""/>
        <s v="Čestlice/Příbram" u="1"/>
        <s v="Otrocovice" u="1"/>
        <s v="Brno " u="1"/>
        <s v="Ostrava HQ / BO" u="1"/>
        <s v="Jihlava (Třebíč)" u="1"/>
        <s v="Brno (Třebíč)" u="1"/>
      </sharedItems>
    </cacheField>
    <cacheField name="Date of opening" numFmtId="0">
      <sharedItems containsNonDate="0" containsDate="1" containsString="0" containsBlank="1" minDate="2025-02-03T00:00:00" maxDate="2026-03-05T00:00:00"/>
    </cacheField>
    <cacheField name="Time to fill" numFmtId="0">
      <sharedItems containsString="0" containsBlank="1" containsNumber="1" containsInteger="1" minValue="0" maxValue="394"/>
    </cacheField>
    <cacheField name="Request for position" numFmtId="0">
      <sharedItems containsBlank="1" containsMixedTypes="1" containsNumber="1" containsInteger="1" minValue="176741" maxValue="184220"/>
    </cacheField>
    <cacheField name="Division" numFmtId="0">
      <sharedItems containsBlank="1" count="21">
        <m/>
        <s v="11_Call Centre"/>
        <s v="08_Service"/>
        <s v="10_Office Operations"/>
        <s v="22_Cost Control &amp; Back Office"/>
        <s v="07_Stock &amp; Logistics"/>
        <s v="02_Car Sales"/>
        <s v="05_Car Purchase"/>
        <s v="04_Automotive OPS"/>
        <s v="03_Financial Services"/>
        <s v="01_Marketing &amp; Communication"/>
        <s v="06_HR"/>
        <s v="09_Economic"/>
        <s v="12_IT"/>
        <s v="16_Mototechna"/>
        <s v="18_Data Science"/>
        <s v="20_Innovations"/>
        <s v="21_Commerce"/>
        <s v="01_Marketing  &amp; Communication" u="1"/>
        <s v="04_Economic" u="1"/>
        <s v="12_Data Science" u="1"/>
      </sharedItems>
    </cacheField>
    <cacheField name="Department" numFmtId="0">
      <sharedItems containsBlank="1"/>
    </cacheField>
    <cacheField name="Position" numFmtId="0">
      <sharedItems containsBlank="1"/>
    </cacheField>
    <cacheField name="Salary" numFmtId="0">
      <sharedItems containsBlank="1"/>
    </cacheField>
    <cacheField name="Hiring Manager " numFmtId="0">
      <sharedItems containsBlank="1" count="78">
        <m/>
        <s v="Jan Kovář"/>
        <s v="Vojta Toráč"/>
        <s v="Miroslav Knap"/>
        <s v="Petr Rinda"/>
        <s v="Ludvík Zawora"/>
        <s v="Michaela Kosinerová"/>
        <s v="Borovec Josef"/>
        <s v="Jan Zvikl"/>
        <s v="Alexandr Jordanov"/>
        <s v="Žerebný Michal"/>
        <s v="Tomáš Kaprálek"/>
        <s v="Filip Lukašek"/>
        <s v="Ondřej Holub"/>
        <s v="Jan Malchar"/>
        <s v="Alen Svoboda"/>
        <s v="Petr Kuchynka"/>
        <s v="Jiří Somol"/>
        <s v="Lukáš Geršic"/>
        <s v="Miroslav Varmuža"/>
        <s v="Andrea Habětínková"/>
        <s v="Jan Sokola"/>
        <s v="Čížek Martin"/>
        <s v="Petr Kalabis"/>
        <s v="Martin Kotlán"/>
        <s v="Tomáš Krmela"/>
        <s v="Martin Kostelka"/>
        <s v="_x000a_"/>
        <s v="Jiří Peška"/>
        <s v="Jakub Řehák" u="1"/>
        <s v="Sokola Jan" u="1"/>
        <s v="Ronge Marcel" u="1"/>
        <s v="Martin Havel" u="1"/>
        <s v="David Reich" u="1"/>
        <s v="Eldar Vagabov" u="1"/>
        <s v="Miloslav Knap" u="1"/>
        <s v="Roman Chrástecký" u="1"/>
        <s v="Lukáš Chlup" u="1"/>
        <s v="Jiří Gross" u="1"/>
        <s v="Jan Vojtěch" u="1"/>
        <s v="Varmuža Miroslav" u="1"/>
        <s v="Roman Nekola" u="1"/>
        <s v="Pavel Filipí" u="1"/>
        <s v="Marcel Ronge" u="1"/>
        <s v="Michal Gabrhel" u="1"/>
        <s v="Michal Kučera" u="1"/>
        <s v="Tomáš Preus" u="1"/>
        <s v="Vladimíra Tichá" u="1"/>
        <s v="Lucie Tvrdíková" u="1"/>
        <s v="Martin Leipner" u="1"/>
        <s v="Petr Neckař" u="1"/>
        <s v="Petr Šimeček/Miloš Ponáhlý" u="1"/>
        <s v="David Hlavnička/Tereza Holečková" u="1"/>
        <s v="Marko Lehtonen" u="1"/>
        <s v="Vojtěch Karban" u="1"/>
        <s v="Jan Metelka" u="1"/>
        <s v="Tereza Holečková" u="1"/>
        <s v="Pavel Filipi" u="1"/>
        <s v="Martin  Kostelka" u="1"/>
        <s v="Martina Kahulová" u="1"/>
        <s v="Luboš Štangler" u="1"/>
        <s v="Hrubý Jan" u="1"/>
        <s v="Martin Čížek" u="1"/>
        <s v="Robert Radler" u="1"/>
        <s v="Vlaďka" u="1"/>
        <s v="§" u="1"/>
        <s v="František Klufa" u="1"/>
        <s v="Karel Smrž" u="1"/>
        <s v="Martin Přibyl" u="1"/>
        <s v="Vaska Tomáš" u="1"/>
        <s v="Jan Hrubý" u="1"/>
        <s v="Borovec Josef/Michal Hroch" u="1"/>
        <s v="Petronela Hubočanová" u="1"/>
        <s v="Borovec Josef " u="1"/>
        <s v="František Kudrna" u="1"/>
        <s v="Robert Šmol" u="1"/>
        <s v="Martin Tampír" u="1"/>
        <s v="Jitka Hořejší" u="1"/>
      </sharedItems>
    </cacheField>
    <cacheField name="Generalist" numFmtId="0">
      <sharedItems containsBlank="1" containsMixedTypes="1" containsNumber="1" containsInteger="1" minValue="4" maxValue="4" count="9">
        <m/>
        <s v="Anna K."/>
        <s v="Kája"/>
        <s v="Honza"/>
        <s v="Kamila"/>
        <s v="Blanka"/>
        <s v="Mirka"/>
        <s v="Ondra"/>
        <n v="4" u="1"/>
      </sharedItems>
    </cacheField>
    <cacheField name="Sources" numFmtId="0">
      <sharedItems containsBlank="1"/>
    </cacheField>
    <cacheField name="Comments" numFmtId="0">
      <sharedItems containsBlank="1" longText="1"/>
    </cacheField>
    <cacheField name="CAP" numFmtId="0">
      <sharedItems containsString="0" containsBlank="1" containsNumber="1" minValue="0.25" maxValue="50.13"/>
    </cacheField>
    <cacheField name="ACTUAL" numFmtId="0">
      <sharedItems containsString="0" containsBlank="1" containsNumber="1" minValue="0" maxValue="45.1"/>
    </cacheField>
    <cacheField name="VAC" numFmtId="0">
      <sharedItems containsString="0" containsBlank="1" containsNumber="1" containsInteger="1" minValue="0"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m/>
    <m/>
    <x v="0"/>
    <m/>
    <m/>
    <m/>
    <x v="0"/>
    <m/>
    <m/>
    <m/>
    <x v="0"/>
    <x v="0"/>
    <m/>
    <m/>
    <m/>
    <m/>
    <m/>
  </r>
  <r>
    <s v="RPL"/>
    <s v="fill cap"/>
    <x v="1"/>
    <d v="2026-02-16T00:00:00"/>
    <n v="16"/>
    <m/>
    <x v="1"/>
    <s v="Call Centre"/>
    <s v="CC Representative"/>
    <s v="22 500 + 0 - 7 500 (GB 1. a 2. měsíc, 3.+ %)"/>
    <x v="1"/>
    <x v="1"/>
    <s v="AAA"/>
    <s v="Hired: Bandurová, Jurek (16. 2.), _x000a_Hiring: Horáková, Malíková (2.3.)_x000a_ _x000a_No: Baláž"/>
    <n v="50.13"/>
    <n v="45.1"/>
    <n v="5"/>
  </r>
  <r>
    <s v="RPL"/>
    <s v="Franková"/>
    <x v="0"/>
    <d v="2026-02-16T00:00:00"/>
    <n v="16"/>
    <m/>
    <x v="1"/>
    <s v="Call Centre"/>
    <s v="CC Representative"/>
    <s v="22 500 + 0 - 12 500 (1.+2. měsíc)_x000a__x000a_22 500 + % (od 3. měsíce)"/>
    <x v="2"/>
    <x v="2"/>
    <s v="AAA, práce za rohem, práce.cz"/>
    <s v="Hired: Bino, Jusko (2.3.)_x000a_Semecká- long term sickness"/>
    <n v="41"/>
    <n v="42"/>
    <n v="0"/>
  </r>
  <r>
    <s v="RPL"/>
    <s v="Roubal"/>
    <x v="0"/>
    <d v="2026-02-02T00:00:00"/>
    <n v="30"/>
    <n v="182910"/>
    <x v="2"/>
    <s v="Service"/>
    <s v="Mechanic / Praha"/>
    <s v="negotiable_x000a_Ref."/>
    <x v="3"/>
    <x v="3"/>
    <s v=" AAA, jobdnes, dobrá práce, práce cz,inwork"/>
    <s v="Checking CVs_x000a_Hired Roubal (4.11.), Hensl (2.2.)"/>
    <n v="23"/>
    <n v="21"/>
    <n v="2"/>
  </r>
  <r>
    <s v="NEW"/>
    <m/>
    <x v="0"/>
    <d v="2025-09-07T00:00:00"/>
    <n v="178"/>
    <s v="Waiting for RFP"/>
    <x v="2"/>
    <s v="Service"/>
    <s v="Mechanic / České Budějovice"/>
    <s v="negotiable_x000a_Ref."/>
    <x v="3"/>
    <x v="3"/>
    <s v=" AAA, jobdnes, dobrá práce, práce cz,inwork"/>
    <s v="IM Setikovský (1.3.)"/>
    <n v="2"/>
    <n v="1"/>
    <n v="1"/>
  </r>
  <r>
    <s v="RPL"/>
    <s v="Daněk"/>
    <x v="2"/>
    <d v="2026-02-23T00:00:00"/>
    <n v="9"/>
    <n v="179250"/>
    <x v="2"/>
    <s v="Service"/>
    <s v="Mechanic / Brno"/>
    <s v="negotiable_x000a_Ref."/>
    <x v="3"/>
    <x v="3"/>
    <s v=" AAA, jobdnes, dobrá práce, práce cz,inwork"/>
    <s v="new RQ_x000a_"/>
    <n v="8"/>
    <n v="7"/>
    <n v="1"/>
  </r>
  <r>
    <s v="RPL"/>
    <s v="Mikula"/>
    <x v="3"/>
    <d v="2025-10-26T00:00:00"/>
    <n v="129"/>
    <n v="179250"/>
    <x v="2"/>
    <s v="Service"/>
    <s v="Mechanic / Kladno"/>
    <s v="negotiable_x000a_Ref."/>
    <x v="3"/>
    <x v="3"/>
    <s v=" AAA, jobdnes, dobrá práce, práce cz,inwork"/>
    <s v="Checking CVs"/>
    <n v="1"/>
    <n v="0"/>
    <n v="1"/>
  </r>
  <r>
    <s v="RPL"/>
    <s v="Kaštánek"/>
    <x v="0"/>
    <d v="2026-01-16T00:00:00"/>
    <n v="47"/>
    <s v="Waiting for RFP"/>
    <x v="3"/>
    <s v="Facility &amp; Constuction"/>
    <s v="Serviceman"/>
    <s v="30 000 + 0 - 8 000 KPI"/>
    <x v="4"/>
    <x v="4"/>
    <s v="Recommended"/>
    <s v="hiring: Chalupecký (2.3.), refused offer: Babka_x000a_"/>
    <n v="2"/>
    <n v="2"/>
    <n v="1"/>
  </r>
  <r>
    <s v="RPL"/>
    <s v="Boušková"/>
    <x v="0"/>
    <d v="2026-02-19T00:00:00"/>
    <n v="13"/>
    <s v="Waiting for RFP"/>
    <x v="3"/>
    <s v="Warehouse &amp; Archive"/>
    <s v="Stockkeeper"/>
    <s v="30 000 + 0 - 9 000 KPI"/>
    <x v="5"/>
    <x v="4"/>
    <s v=" AAA, práce cz, pracezarohem, inwork"/>
    <s v="checking CVs_x000a_"/>
    <n v="2"/>
    <n v="2"/>
    <n v="1"/>
  </r>
  <r>
    <s v="RPL"/>
    <s v="Bartková/Varyš"/>
    <x v="0"/>
    <d v="2026-02-19T00:00:00"/>
    <n v="13"/>
    <s v="Waiting for RFP"/>
    <x v="4"/>
    <s v="Cost Controlling &amp; Procurement"/>
    <s v="Procurement Specialist"/>
    <s v="43 000 + 0 - 10 000 KPI"/>
    <x v="6"/>
    <x v="4"/>
    <s v="Recommended"/>
    <s v="plánovaný IM"/>
    <n v="1.5"/>
    <n v="0.5"/>
    <n v="1"/>
  </r>
  <r>
    <s v="RPL"/>
    <s v="fill cap, Šebánek, Černý"/>
    <x v="0"/>
    <d v="2026-01-06T00:00:00"/>
    <n v="57"/>
    <s v="176542_x000a_"/>
    <x v="5"/>
    <s v="Stock"/>
    <s v="Stock Controller - Praha"/>
    <s v="25 000 + 0 - 25 000 KPI"/>
    <x v="7"/>
    <x v="5"/>
    <s v="AAA, práce.cz, pracezarohem, dobraprace"/>
    <s v="Hiring Švarc_x000a_After 2nd Butora, Cimburek_x000a_No Afier 2nd Nouzák, Kolomazník_x000a_Refused practise day Kulhánek _x000a_Checking CV_x000a_"/>
    <n v="7"/>
    <n v="6"/>
    <n v="3"/>
  </r>
  <r>
    <s v="RPL"/>
    <s v="fill cap"/>
    <x v="4"/>
    <d v="2026-01-06T00:00:00"/>
    <n v="57"/>
    <s v="176542_x000a_"/>
    <x v="5"/>
    <s v="Stock"/>
    <s v="Stock Controller - Liberec"/>
    <s v="25 000 + 0 - 25 000 KPI"/>
    <x v="7"/>
    <x v="5"/>
    <s v="AAA, práce.cz, pracezarohem, dobraprace"/>
    <s v="Hiring Saska (23.3.)_x000a_No after 2nd Rejman_x000a_Checking CV_x000a_"/>
    <n v="2"/>
    <n v="1"/>
    <n v="1"/>
  </r>
  <r>
    <s v="RPL"/>
    <s v="Setikovský"/>
    <x v="4"/>
    <d v="2026-01-27T00:00:00"/>
    <n v="36"/>
    <s v="176542_x000a_"/>
    <x v="5"/>
    <s v="Stock"/>
    <s v="Stock Controller - České Budějovice"/>
    <s v="25 000 + 0 - 25 000 KPI"/>
    <x v="7"/>
    <x v="5"/>
    <s v="AAA, práce.cz, pracezarohem, dobraprace"/>
    <s v="Hiring Rotšédl (1.4.) _x000a_No after 2nd Fomín _x000a_Checking CVs"/>
    <n v="3"/>
    <n v="3"/>
    <n v="1"/>
  </r>
  <r>
    <s v="RPL"/>
    <s v="fill cap"/>
    <x v="3"/>
    <d v="2026-02-24T00:00:00"/>
    <n v="8"/>
    <m/>
    <x v="5"/>
    <s v="Stock"/>
    <s v="Courier DPP - Kladno"/>
    <s v="140,-Kč//hod"/>
    <x v="8"/>
    <x v="6"/>
    <s v="AAA, práce.cz, pracezarohem, dobraprace"/>
    <s v="Checking CVs_x000a_new request"/>
    <n v="0.25"/>
    <n v="0"/>
    <n v="1"/>
  </r>
  <r>
    <s v="RPL"/>
    <s v="fill cap"/>
    <x v="5"/>
    <d v="2026-02-27T00:00:00"/>
    <n v="5"/>
    <m/>
    <x v="5"/>
    <s v="Stock"/>
    <s v="Courier DPP - České Budějovice"/>
    <s v="140,-Kč/hod."/>
    <x v="8"/>
    <x v="6"/>
    <s v="AAA, práce.cz, pracezarohem, dobraprace"/>
    <s v="Checking CVs/new request"/>
    <n v="0.25"/>
    <n v="0"/>
    <n v="1"/>
  </r>
  <r>
    <s v="RPL"/>
    <s v="Bryňák LTS, Kostiuk, Zlúky"/>
    <x v="0"/>
    <d v="2026-03-03T00:00:00"/>
    <n v="1"/>
    <s v="176542_x000a_"/>
    <x v="5"/>
    <s v="Logistics"/>
    <s v="Tow Truck Driver - Praha"/>
    <s v="25 000 + 0 - 15 000 OSOH + 0 - 15 000 VB"/>
    <x v="9"/>
    <x v="6"/>
    <s v="AAA, práce.cz, pracezarohem, dobraprace"/>
    <s v="Hring: Hranáč (3.3)_x000a_Hired: Zlúky (1.12)Ludvik(17.2)_x000a_For 1st:Liška(19.2)_x000a_For2nd: Hranáč(30.1)_x000a_Refused offer:Jirovec, Brudny, Bartoň_x000a_Dindnt comme: Macháček(13.10), Chromec"/>
    <n v="30"/>
    <n v="30"/>
    <n v="2"/>
  </r>
  <r>
    <s v="RPL"/>
    <s v="Klejzar"/>
    <x v="0"/>
    <d v="2026-01-26T00:00:00"/>
    <n v="37"/>
    <m/>
    <x v="6"/>
    <s v="Customer Care"/>
    <s v="Customer Care Technician"/>
    <s v="35 000 + 0 - 11 000 KPI"/>
    <x v="10"/>
    <x v="5"/>
    <s v="AAA, práce.cz, pracezarohem, dobraprace"/>
    <s v="Hiring Vojta_x000a_No after 2nd Mašek_x000a_Checking CVs"/>
    <n v="3"/>
    <n v="1.5"/>
    <n v="1"/>
  </r>
  <r>
    <s v="RPL"/>
    <m/>
    <x v="0"/>
    <d v="2026-01-06T00:00:00"/>
    <n v="57"/>
    <n v="178528"/>
    <x v="7"/>
    <s v="Mobile Buying"/>
    <s v="Mobile Buying- Praha"/>
    <s v="25000+%"/>
    <x v="11"/>
    <x v="6"/>
    <s v="AAA, práce.cz, jobs.cz, dobraprace, volnamista, jobdnes, pracezarohem"/>
    <s v="For 1nd: Kredba, Palyutin(10.2)_x000a_After1st: Kredba, Palyutin(not suitable)_x000a_Refused offer: Žižkovský"/>
    <n v="9"/>
    <n v="9"/>
    <n v="1"/>
  </r>
  <r>
    <s v="RPL"/>
    <s v="Dobeš"/>
    <x v="0"/>
    <d v="2026-01-13T00:00:00"/>
    <n v="50"/>
    <n v="178528"/>
    <x v="7"/>
    <s v="Mobile Buying"/>
    <s v="Mobile Buying- Ostrava"/>
    <s v="25000+%"/>
    <x v="12"/>
    <x v="6"/>
    <s v="AAA, práce.cz, jobs.cz, dobraprace, volnamista, jobdnes, pracezarohem"/>
    <s v="After1st:Turay(not suitable)"/>
    <n v="1"/>
    <n v="1"/>
    <n v="1"/>
  </r>
  <r>
    <s v="RPL"/>
    <s v="Zvěřinová"/>
    <x v="0"/>
    <d v="2026-02-24T00:00:00"/>
    <n v="8"/>
    <n v="178528"/>
    <x v="7"/>
    <s v="Mobile Buying"/>
    <s v="Mobile Buying Dispatcher Praha"/>
    <s v="25000+%"/>
    <x v="13"/>
    <x v="6"/>
    <s v="AAA, práce.cz, jobs.cz, dobraprace, volnamista, jobdnes, pracezarohem"/>
    <s v="Checking CVs/ new request"/>
    <n v="1"/>
    <n v="1"/>
    <n v="1"/>
  </r>
  <r>
    <m/>
    <m/>
    <x v="6"/>
    <m/>
    <m/>
    <m/>
    <x v="0"/>
    <m/>
    <m/>
    <m/>
    <x v="0"/>
    <x v="0"/>
    <m/>
    <m/>
    <m/>
    <m/>
    <m/>
  </r>
  <r>
    <m/>
    <m/>
    <x v="7"/>
    <m/>
    <m/>
    <m/>
    <x v="0"/>
    <m/>
    <m/>
    <m/>
    <x v="0"/>
    <x v="0"/>
    <m/>
    <m/>
    <m/>
    <m/>
    <m/>
  </r>
  <r>
    <s v="NEW"/>
    <s v="fill cap"/>
    <x v="7"/>
    <d v="2026-02-04T00:00:00"/>
    <n v="28"/>
    <m/>
    <x v="8"/>
    <s v="OPS (Part Time)"/>
    <s v="Driver - Zličín"/>
    <s v="140 kč/Hod"/>
    <x v="14"/>
    <x v="1"/>
    <s v="AAA"/>
    <s v="Hired: Kočí (4.2), Blažka (4.2)_x000a_For 2nd: Václavík (odloženo pro nemoc)_x000a_"/>
    <n v="0.25"/>
    <n v="0.25"/>
    <n v="3"/>
  </r>
  <r>
    <m/>
    <s v="Reg. Praha "/>
    <x v="8"/>
    <m/>
    <m/>
    <m/>
    <x v="0"/>
    <m/>
    <m/>
    <m/>
    <x v="0"/>
    <x v="0"/>
    <m/>
    <m/>
    <m/>
    <m/>
    <m/>
  </r>
  <r>
    <s v="RPL"/>
    <s v="Dunda, Uher, fill cap"/>
    <x v="8"/>
    <d v="2025-09-19T00:00:00"/>
    <n v="166"/>
    <s v="177091_x000a_178380_x000a_178368_x000a_180222_x000a_180494"/>
    <x v="6"/>
    <s v="Sales"/>
    <s v="Salesman - Praha"/>
    <s v="25.000 + %"/>
    <x v="15"/>
    <x v="7"/>
    <s v="AAA, práce, inwork"/>
    <s v="For 2nd 2x_x000a_Hired 16.2. Drahokoupil, 19.2. Humeník 2.3. Kótai_x000a_Hired 12.1. Kamršek_x000a_Hired for assistant 8.2. Dlabal_x000a_Refused offer Kohák, Andrle_x000a_No after 2nd 19x"/>
    <n v="36"/>
    <n v="32"/>
    <n v="4"/>
  </r>
  <r>
    <s v="RPL"/>
    <s v="Král Josef"/>
    <x v="8"/>
    <d v="2025-12-17T00:00:00"/>
    <n v="77"/>
    <n v="184212"/>
    <x v="7"/>
    <s v="Buying"/>
    <s v="Test driver - Praha"/>
    <s v="25 000 + 0 - 15 000"/>
    <x v="16"/>
    <x v="5"/>
    <s v="AAA, prace.cz, pracezarohem, jobdnes"/>
    <s v="_x000a_Hiring Várady_x000a_Hired Macháček (2.2.)_x000a_No after 2nd Urban , Brož, Hubený_x000a_Checking CV_x000a_"/>
    <n v="20"/>
    <n v="16"/>
    <n v="3"/>
  </r>
  <r>
    <s v="RPL"/>
    <m/>
    <x v="8"/>
    <d v="2026-01-23T00:00:00"/>
    <n v="40"/>
    <m/>
    <x v="7"/>
    <s v="Pricing CZ/SK/PL"/>
    <s v="Pricing Expert"/>
    <s v="30 000 + 15 000"/>
    <x v="17"/>
    <x v="1"/>
    <s v="AAA, práce, inwork"/>
    <s v="For1st: Hejduk (4.3)_x000a_for 2nd int.: Kunst (25.2.)_x000a_No: Dědek, Soustružník, Hlaváčková, Sivák, Bača"/>
    <n v="36.5"/>
    <n v="33"/>
    <n v="1"/>
  </r>
  <r>
    <s v="RPL"/>
    <s v="Šimonová"/>
    <x v="8"/>
    <d v="2026-02-06T00:00:00"/>
    <n v="26"/>
    <m/>
    <x v="7"/>
    <s v="Buying"/>
    <s v="Receptionist"/>
    <s v="25 000 + 10 000"/>
    <x v="16"/>
    <x v="5"/>
    <s v="AAA, prace.cz, pracezarohem, jobdnes"/>
    <s v="Hiring Lisová (9.3.)_x000a_Checking CVs"/>
    <n v="2"/>
    <n v="2"/>
    <n v="1"/>
  </r>
  <r>
    <s v="RPL"/>
    <s v="Tomáš Kaiser"/>
    <x v="8"/>
    <d v="2026-02-01T00:00:00"/>
    <n v="31"/>
    <m/>
    <x v="8"/>
    <s v="OPS (Full Time)"/>
    <s v="Helper - Praha"/>
    <s v="28 000 + 0 - 8 000"/>
    <x v="14"/>
    <x v="1"/>
    <s v="AAA, práce, inwork"/>
    <s v="Roubal 1.2._x000a_No after 2nd: Slavík _x000a_Švankmajer, Svoboda, Shten, Kalinov"/>
    <n v="26"/>
    <n v="23"/>
    <n v="3"/>
  </r>
  <r>
    <s v="RPL"/>
    <s v="Jan Szabó"/>
    <x v="8"/>
    <d v="2026-02-09T00:00:00"/>
    <n v="23"/>
    <m/>
    <x v="8"/>
    <s v="OPS (Full Time)"/>
    <s v="Helper Boxy a Sonax - Praha"/>
    <s v="28 000 + 0 - 8 000"/>
    <x v="14"/>
    <x v="1"/>
    <s v="AAA, práce, inwork"/>
    <s v="Hired:  Hangurbadžo (9.2.)_x000a_Didnt come to the int: Peteřík 22.1., Vokulič (22.1)"/>
    <n v="4"/>
    <n v="3"/>
    <n v="1"/>
  </r>
  <r>
    <m/>
    <s v="Reg. Praha "/>
    <x v="9"/>
    <m/>
    <m/>
    <m/>
    <x v="0"/>
    <m/>
    <m/>
    <m/>
    <x v="0"/>
    <x v="0"/>
    <m/>
    <m/>
    <m/>
    <m/>
    <m/>
  </r>
  <r>
    <s v="RPL"/>
    <s v="Šoltys"/>
    <x v="9"/>
    <d v="2025-09-08T00:00:00"/>
    <n v="177"/>
    <n v="176741"/>
    <x v="6"/>
    <s v="Selling"/>
    <s v="Salesman - Čestlice"/>
    <s v="25.000 + 0 - 25.000"/>
    <x v="15"/>
    <x v="7"/>
    <s v="AAA, práce.cz, inwork, dobraprace"/>
    <s v="Hired 2.3. Radčuk_x000a_On hold Mládek_x000a_Stopped hiring Reppenberger_x000a_Checking CVs"/>
    <n v="4"/>
    <n v="4"/>
    <n v="1"/>
  </r>
  <r>
    <s v="RPL"/>
    <s v="Hořínek"/>
    <x v="9"/>
    <d v="2026-02-26T00:00:00"/>
    <n v="6"/>
    <n v="179002"/>
    <x v="7"/>
    <s v="Buying"/>
    <s v="Test driver - Čestlice"/>
    <s v="25 000 + 0 - 15 000"/>
    <x v="18"/>
    <x v="4"/>
    <s v="AAA, prace.cz, pracezarohem"/>
    <s v="Checking CVs"/>
    <n v="4"/>
    <n v="4"/>
    <n v="1"/>
  </r>
  <r>
    <s v="RPL"/>
    <s v="Kilián"/>
    <x v="10"/>
    <d v="2025-11-10T00:00:00"/>
    <n v="114"/>
    <n v="179002"/>
    <x v="7"/>
    <s v="Buying"/>
    <s v="Car Trader - Příbram"/>
    <s v="28 000 + 0 - 22 000"/>
    <x v="18"/>
    <x v="4"/>
    <s v="AAA, prace.cz, pracezarohem"/>
    <s v="In process: ex empl., To 2nd: Strama, Hochmann (waiting for term), No after 2nd:  Říha, Niebauer, refused offer: Obdrdal, Vybíral_x000a_1x  IM (F.Hořínek ze Sokolova)"/>
    <n v="2"/>
    <n v="0"/>
    <n v="2"/>
  </r>
  <r>
    <s v="RPL"/>
    <s v="fill cap"/>
    <x v="9"/>
    <d v="2026-02-02T00:00:00"/>
    <n v="30"/>
    <s v="DPP 2x"/>
    <x v="8"/>
    <s v="OPS (Part Time)"/>
    <s v="Driver - Čestlice"/>
    <s v="140 kč/Hod"/>
    <x v="14"/>
    <x v="1"/>
    <s v="AAA, práce.cz, inwork, dobraprace"/>
    <s v="Hired Hora (2.2.)_x000a_No resp.: Čech, Kameník_x000a_Vrbovec (17.10.),"/>
    <n v="0.25"/>
    <n v="0.25"/>
    <n v="3"/>
  </r>
  <r>
    <m/>
    <s v="Reg. Praha "/>
    <x v="11"/>
    <m/>
    <m/>
    <m/>
    <x v="0"/>
    <m/>
    <m/>
    <m/>
    <x v="0"/>
    <x v="0"/>
    <m/>
    <m/>
    <m/>
    <m/>
    <m/>
  </r>
  <r>
    <m/>
    <m/>
    <x v="12"/>
    <m/>
    <m/>
    <m/>
    <x v="0"/>
    <m/>
    <m/>
    <s v="BRANCHES"/>
    <x v="0"/>
    <x v="0"/>
    <m/>
    <m/>
    <m/>
    <m/>
    <m/>
  </r>
  <r>
    <m/>
    <s v="Bohemia 1"/>
    <x v="5"/>
    <m/>
    <m/>
    <m/>
    <x v="0"/>
    <m/>
    <m/>
    <m/>
    <x v="0"/>
    <x v="0"/>
    <m/>
    <m/>
    <m/>
    <m/>
    <m/>
  </r>
  <r>
    <s v="RPL"/>
    <s v="fill cap"/>
    <x v="5"/>
    <d v="2026-01-06T00:00:00"/>
    <n v="57"/>
    <n v="176834"/>
    <x v="6"/>
    <s v="Selling"/>
    <s v="Salesman - České Budějovice 2"/>
    <s v="25 000 + %"/>
    <x v="19"/>
    <x v="5"/>
    <s v="AAA, práce, pracezarohem"/>
    <s v="_x000a_Hiring Vašák (2.3.)_x000a_Hired Smutný (2.2.), Malý (16.2.)_x000a_For 2nd Malý, Tyšler (next week)_x000a_After 2nd Mužík, Volovenko_x000a_Checking CV_x000a_"/>
    <n v="8"/>
    <n v="8"/>
    <n v="2"/>
  </r>
  <r>
    <s v="RPL"/>
    <s v="Tovačovský"/>
    <x v="5"/>
    <d v="2026-01-21T00:00:00"/>
    <n v="42"/>
    <n v="184220"/>
    <x v="9"/>
    <s v="Selling Support"/>
    <s v="Customer Service Specialist - České Budějovice"/>
    <s v="25 000 + %"/>
    <x v="20"/>
    <x v="5"/>
    <s v="AAA, práce.cz, inwork, dobraprace"/>
    <s v="For 2nd Babic (next week)_x000a_Checking CV_x000a_"/>
    <n v="6"/>
    <n v="6"/>
    <n v="1"/>
  </r>
  <r>
    <s v="NEW"/>
    <s v="NEW"/>
    <x v="5"/>
    <d v="2026-02-12T00:00:00"/>
    <n v="20"/>
    <n v="178677"/>
    <x v="8"/>
    <s v="OPS"/>
    <s v="Driver - České Budějovice"/>
    <s v="140 kč/Hod"/>
    <x v="21"/>
    <x v="2"/>
    <s v="AAA, jobdnes, práce cz"/>
    <s v="For 2nd: Chmelař, Maxová_x000a_Checking CV´s_x000a_Zadán RQ na navýšení capu (2x)"/>
    <n v="1.75"/>
    <n v="1.75"/>
    <n v="2"/>
  </r>
  <r>
    <m/>
    <s v="Bohemia 1"/>
    <x v="13"/>
    <m/>
    <m/>
    <m/>
    <x v="0"/>
    <m/>
    <m/>
    <m/>
    <x v="0"/>
    <x v="0"/>
    <m/>
    <m/>
    <m/>
    <m/>
    <m/>
  </r>
  <r>
    <s v="RPL"/>
    <s v="Synek"/>
    <x v="13"/>
    <d v="2026-02-04T00:00:00"/>
    <n v="28"/>
    <n v="184220"/>
    <x v="9"/>
    <s v="Selling Support"/>
    <s v="Customer Service Specialist - Chomutov"/>
    <s v="25 000 + %"/>
    <x v="20"/>
    <x v="5"/>
    <s v="AAA, práce.cz, inwork, dobraprace"/>
    <s v="For 2nd Šafránková (3.3.)_x000a_No after WT Rojt _x000a_Checking CV_x000a_"/>
    <n v="4"/>
    <n v="4"/>
    <n v="1"/>
  </r>
  <r>
    <s v="RPL"/>
    <s v="Rohan, Panovský"/>
    <x v="13"/>
    <d v="2026-01-07T00:00:00"/>
    <n v="56"/>
    <n v="176834"/>
    <x v="6"/>
    <s v="Selling"/>
    <s v="Salesman - Chomutov"/>
    <s v="25 000 + %"/>
    <x v="19"/>
    <x v="5"/>
    <s v="AAA, práce, pracezarohem"/>
    <s v="_x000a__x000a_Hiring Demjan, Zelený (2.3.)_x000a_Refused offer Kubovič_x000a_Checking CV_x000a_"/>
    <n v="4"/>
    <n v="4"/>
    <n v="2"/>
  </r>
  <r>
    <m/>
    <s v="Bohemia 1"/>
    <x v="3"/>
    <m/>
    <m/>
    <m/>
    <x v="0"/>
    <m/>
    <m/>
    <m/>
    <x v="0"/>
    <x v="0"/>
    <m/>
    <m/>
    <m/>
    <m/>
    <m/>
  </r>
  <r>
    <s v="RPL"/>
    <s v="Trojan"/>
    <x v="3"/>
    <d v="2026-02-09T00:00:00"/>
    <n v="23"/>
    <m/>
    <x v="8"/>
    <s v="OPS "/>
    <s v="Driver DPP Kladno"/>
    <s v="140,-Kč/hod."/>
    <x v="22"/>
    <x v="6"/>
    <s v="AAA, práce za rohem, práce.cz"/>
    <s v="Hiring: Žáčková (LP)_x000a_For 1st: Procházka (4.3)_x000a_Refused offer: Kolářová(18.2)"/>
    <n v="1.75"/>
    <n v="1.25"/>
    <n v="1"/>
  </r>
  <r>
    <m/>
    <s v="Bohemia 1"/>
    <x v="14"/>
    <m/>
    <m/>
    <m/>
    <x v="0"/>
    <m/>
    <m/>
    <m/>
    <x v="0"/>
    <x v="0"/>
    <m/>
    <m/>
    <m/>
    <m/>
    <m/>
  </r>
  <r>
    <s v="RPL"/>
    <s v="Riegerová"/>
    <x v="14"/>
    <d v="2026-01-15T00:00:00"/>
    <n v="48"/>
    <n v="184220"/>
    <x v="9"/>
    <s v="Selling Support"/>
    <s v="Customer Service Specialist - Plzeň"/>
    <s v="25 000 + %"/>
    <x v="20"/>
    <x v="5"/>
    <s v="AAA, práce.cz, inwork, dobraprace"/>
    <s v="_x000a_Checking CV_x000a_"/>
    <n v="6"/>
    <n v="6"/>
    <n v="1"/>
  </r>
  <r>
    <s v="RPL"/>
    <s v="Korbel"/>
    <x v="14"/>
    <d v="2026-02-18T00:00:00"/>
    <n v="14"/>
    <n v="176834"/>
    <x v="6"/>
    <s v="Selling"/>
    <s v="Salesman - Plzeň"/>
    <s v="25 000 + %"/>
    <x v="19"/>
    <x v="5"/>
    <s v="AAA, práce, pracezarohem"/>
    <s v="_x000a__x000a_Didnt come Janíček_x000a_Checking CV_x000a_"/>
    <n v="7"/>
    <n v="7"/>
    <n v="1"/>
  </r>
  <r>
    <m/>
    <s v="Bohemia 1"/>
    <x v="15"/>
    <m/>
    <m/>
    <m/>
    <x v="0"/>
    <m/>
    <m/>
    <m/>
    <x v="0"/>
    <x v="0"/>
    <m/>
    <m/>
    <m/>
    <m/>
    <m/>
  </r>
  <r>
    <s v="RPL"/>
    <s v="fill cap"/>
    <x v="15"/>
    <d v="2026-03-02T00:00:00"/>
    <n v="2"/>
    <s v="DPP"/>
    <x v="8"/>
    <s v="OPS "/>
    <s v="Driver DPP Sokolov"/>
    <s v="140,-Kč/hod"/>
    <x v="22"/>
    <x v="6"/>
    <s v="AAA, dobraprace,  pracezarohem, práce cz"/>
    <s v="Hired: Krejza(11.2), Matyáš (2.3)_x000a_Hiring: Procházka(LP)_x000a_After1st:Wnek(not suitable)"/>
    <n v="1.5"/>
    <n v="1.5"/>
    <n v="2"/>
  </r>
  <r>
    <s v="RPL"/>
    <s v="fill cap, Mayer"/>
    <x v="15"/>
    <d v="2026-02-02T00:00:00"/>
    <n v="30"/>
    <m/>
    <x v="8"/>
    <s v="OPS"/>
    <s v="Helper - Sokolov"/>
    <s v="26 0000 + 0-6000 KPI"/>
    <x v="22"/>
    <x v="5"/>
    <s v="AAA, dobraprace,  pracezarohem, práce cz"/>
    <s v="_x000a_Hiring Řáda _x000a_No after 2nd Beníšek, Sys _x000a_Checking CVs"/>
    <n v="8"/>
    <n v="7"/>
    <n v="2"/>
  </r>
  <r>
    <m/>
    <s v="Bohemia 1"/>
    <x v="16"/>
    <m/>
    <m/>
    <m/>
    <x v="0"/>
    <m/>
    <m/>
    <m/>
    <x v="0"/>
    <x v="0"/>
    <m/>
    <m/>
    <m/>
    <m/>
    <m/>
  </r>
  <r>
    <m/>
    <s v="Bohemia 2"/>
    <x v="17"/>
    <m/>
    <m/>
    <m/>
    <x v="0"/>
    <m/>
    <m/>
    <m/>
    <x v="0"/>
    <x v="0"/>
    <m/>
    <m/>
    <m/>
    <m/>
    <m/>
  </r>
  <r>
    <s v="RPL"/>
    <s v="?"/>
    <x v="17"/>
    <d v="2026-02-04T00:00:00"/>
    <n v="28"/>
    <n v="178677"/>
    <x v="6"/>
    <s v="Selling"/>
    <s v="Salesman - Hradec Králové"/>
    <s v="22 000 + %"/>
    <x v="23"/>
    <x v="4"/>
    <s v="AAA, inwork, pracezarohem, práce cz"/>
    <s v="Hiring: Chalupecký (15.3.), Practice day: Soska , To 2nd: Šimík (30.1.), No after 2nd: : Baťha, Hampl"/>
    <n v="6"/>
    <n v="6"/>
    <n v="1"/>
  </r>
  <r>
    <m/>
    <s v="Bohemia 2"/>
    <x v="18"/>
    <m/>
    <m/>
    <m/>
    <x v="0"/>
    <m/>
    <m/>
    <m/>
    <x v="0"/>
    <x v="0"/>
    <m/>
    <m/>
    <m/>
    <m/>
    <m/>
  </r>
  <r>
    <s v="RPL"/>
    <s v="Kroužecká, Volencová"/>
    <x v="18"/>
    <d v="2025-02-03T00:00:00"/>
    <n v="394"/>
    <s v="_x000a_161947_x000a_"/>
    <x v="9"/>
    <s v="Selling Support"/>
    <s v="Customer Service Specialist  - Kolín"/>
    <s v="25 000 + %_x000a_Referral - 20 000"/>
    <x v="24"/>
    <x v="4"/>
    <s v="AAA, práce.cz, práce za rohem, jobs.cz"/>
    <s v="Hiring: Pavlová (1.4.2026), No after 2nd: Drevenár, Kučerová, Pernicová, Havlík, Pachl, Batelková,  Pichl, Kočerhán Refused offer: Krejčíková, Ben Rguez, Kolářová, Jirsa, Slavíčková, Talacko_x000a_Didn´t come: Svobodová, Kumbera, Zadražil_x000a_Hired: Volencová 3.2.2025_x000a_"/>
    <n v="4"/>
    <n v="2"/>
    <n v="2"/>
  </r>
  <r>
    <m/>
    <s v="Bohemia 2"/>
    <x v="4"/>
    <m/>
    <m/>
    <m/>
    <x v="0"/>
    <m/>
    <m/>
    <m/>
    <x v="0"/>
    <x v="0"/>
    <m/>
    <m/>
    <m/>
    <m/>
    <m/>
  </r>
  <r>
    <s v="RPL"/>
    <s v="Tomášek, + ?"/>
    <x v="4"/>
    <d v="2026-02-02T00:00:00"/>
    <n v="30"/>
    <n v="178677"/>
    <x v="6"/>
    <s v="Selling"/>
    <s v="Salesman - Liberec"/>
    <s v="22 000 + %"/>
    <x v="23"/>
    <x v="4"/>
    <s v="AAA, inwork, pracezarohem, práce cz"/>
    <s v="Hiring: Michálek (2.3.), No after: Veselý, Schaffer"/>
    <n v="7"/>
    <n v="8"/>
    <n v="1"/>
  </r>
  <r>
    <s v="RPL"/>
    <s v="Robová"/>
    <x v="4"/>
    <d v="2026-02-02T00:00:00"/>
    <n v="30"/>
    <s v="_x000a_161947_x000a_"/>
    <x v="9"/>
    <s v="Selling Support"/>
    <s v="Customer Service Specialist  - Liberec"/>
    <s v="25 000 + %"/>
    <x v="24"/>
    <x v="4"/>
    <s v="AAA, práce.cz, práce za rohem, jobs.cz"/>
    <s v="No after practice day:  Vidnerová"/>
    <n v="7.5"/>
    <n v="7.25"/>
    <n v="1"/>
  </r>
  <r>
    <s v="NEW"/>
    <s v="fill cap"/>
    <x v="4"/>
    <d v="2026-02-12T00:00:00"/>
    <n v="20"/>
    <s v="DPP"/>
    <x v="8"/>
    <s v="OPS"/>
    <s v="Helper - Liberec"/>
    <s v="26 000 + 0-6 000 KPI"/>
    <x v="22"/>
    <x v="2"/>
    <s v="AAA, jobdnes, pracezarohem, práce cz"/>
    <s v="Hiring: Kropáč (9.3.), Hejduk (dle LP)_x000a_No after 2nd: Baran, Břichňáč_x000a_Refused offer: Palme_x000a_Checking CV_x000a_Zadán RQ na navýšení capu (1x)"/>
    <n v="10"/>
    <n v="9"/>
    <n v="2"/>
  </r>
  <r>
    <m/>
    <s v="Bohemia 2"/>
    <x v="19"/>
    <m/>
    <m/>
    <m/>
    <x v="0"/>
    <m/>
    <m/>
    <m/>
    <x v="0"/>
    <x v="0"/>
    <m/>
    <m/>
    <m/>
    <m/>
    <m/>
  </r>
  <r>
    <s v="RPL"/>
    <s v="Ryšavý"/>
    <x v="19"/>
    <d v="2026-03-03T00:00:00"/>
    <n v="1"/>
    <s v="DPP"/>
    <x v="8"/>
    <s v="OPS"/>
    <s v="Helper - Mladá Boleslav"/>
    <s v="26 000 + 0-6 000 KPI"/>
    <x v="22"/>
    <x v="2"/>
    <s v="AAA, dobraprace,  pracezarohem, práce cz"/>
    <s v="NEW_x000a_"/>
    <n v="4"/>
    <n v="3"/>
    <n v="1"/>
  </r>
  <r>
    <m/>
    <s v="Bohemia 2"/>
    <x v="20"/>
    <m/>
    <m/>
    <m/>
    <x v="0"/>
    <m/>
    <m/>
    <m/>
    <x v="0"/>
    <x v="0"/>
    <m/>
    <m/>
    <m/>
    <m/>
    <m/>
  </r>
  <r>
    <s v="RPL"/>
    <s v="Řeháková"/>
    <x v="20"/>
    <d v="2026-02-16T00:00:00"/>
    <n v="16"/>
    <s v="_x000a_161947_x000a_"/>
    <x v="9"/>
    <s v="Selling Support"/>
    <s v="Customer Service Specialist  - Teplice"/>
    <s v="25 000 + %"/>
    <x v="24"/>
    <x v="4"/>
    <s v="AAA, práce.cz, práce za rohem, jobs.cz"/>
    <s v="Checking CVs"/>
    <n v="4"/>
    <n v="4"/>
    <n v="1"/>
  </r>
  <r>
    <s v="RPL"/>
    <s v="Jeřábek, Hubert"/>
    <x v="20"/>
    <d v="2026-01-28T00:00:00"/>
    <n v="35"/>
    <s v="DPP"/>
    <x v="8"/>
    <s v="OPS"/>
    <s v="Helper - Teplice"/>
    <s v="26 000 + 0-6 000 KPI"/>
    <x v="22"/>
    <x v="5"/>
    <s v="AAA, dobraprace,  pracezarohem, práce cz"/>
    <s v="Hiring Novák, Parsch_x000a_No after 2nd Cincibus, Vorasický, Vališ, Zacharda_x000a_Checking CV_x000a_"/>
    <n v="4"/>
    <n v="4"/>
    <n v="2"/>
  </r>
  <r>
    <s v="RPL"/>
    <s v="fill cap"/>
    <x v="20"/>
    <d v="2026-02-02T00:00:00"/>
    <n v="30"/>
    <m/>
    <x v="8"/>
    <s v="OPS"/>
    <s v="Driver DPP Teplice"/>
    <s v="140,-Kč/hod."/>
    <x v="22"/>
    <x v="6"/>
    <s v="AAA, dobraprace,  pracezarohem, práce cz"/>
    <s v="Checking CV_x000a_For1st: Mestl(23.2), Šidelka(25.2)"/>
    <n v="2"/>
    <n v="2"/>
    <n v="3"/>
  </r>
  <r>
    <m/>
    <s v="Bohemia 2"/>
    <x v="21"/>
    <m/>
    <m/>
    <m/>
    <x v="0"/>
    <m/>
    <m/>
    <m/>
    <x v="0"/>
    <x v="0"/>
    <m/>
    <m/>
    <m/>
    <m/>
    <m/>
  </r>
  <r>
    <s v="RPL"/>
    <s v="Valová"/>
    <x v="21"/>
    <d v="2026-02-19T00:00:00"/>
    <n v="13"/>
    <s v="_x000a_161947_x000a_"/>
    <x v="9"/>
    <s v="Selling Support"/>
    <s v="Customer Service Specialist  - Ústí"/>
    <s v="25 000 + %"/>
    <x v="24"/>
    <x v="4"/>
    <s v="AAA, práce.cz, práce za rohem, jobs.cz"/>
    <s v="Checking CVs"/>
    <n v="6"/>
    <n v="6"/>
    <n v="1"/>
  </r>
  <r>
    <s v="RPL"/>
    <s v="Blahnik"/>
    <x v="21"/>
    <d v="2026-02-02T00:00:00"/>
    <n v="30"/>
    <n v="178677"/>
    <x v="6"/>
    <s v="Selling"/>
    <s v="Salesman - Ústí nad Labem"/>
    <s v="22 000 + %"/>
    <x v="23"/>
    <x v="4"/>
    <s v="AAA, dobraprace, inwork, pracezarohem, práce cz"/>
    <s v="Hiring: Marek (3/2026) "/>
    <n v="4"/>
    <n v="5"/>
    <n v="1"/>
  </r>
  <r>
    <m/>
    <s v="Moravia 1"/>
    <x v="2"/>
    <m/>
    <m/>
    <m/>
    <x v="0"/>
    <m/>
    <m/>
    <m/>
    <x v="0"/>
    <x v="0"/>
    <m/>
    <m/>
    <m/>
    <m/>
    <m/>
  </r>
  <r>
    <s v="RPL"/>
    <m/>
    <x v="2"/>
    <d v="2026-02-06T00:00:00"/>
    <n v="26"/>
    <m/>
    <x v="6"/>
    <s v="Selling"/>
    <s v="Salesman - Brno"/>
    <s v="25 000 + %"/>
    <x v="25"/>
    <x v="7"/>
    <s v="AAA, práce"/>
    <s v="After 2nd 2x_x000a_Hired 2.3. Pečinka"/>
    <n v="16"/>
    <n v="16"/>
    <n v="1"/>
  </r>
  <r>
    <s v="NEW CAP"/>
    <m/>
    <x v="2"/>
    <d v="2026-02-06T00:00:00"/>
    <n v="26"/>
    <m/>
    <x v="7"/>
    <s v="Selling"/>
    <s v="Test Driver - Brno"/>
    <s v="25 000 + %"/>
    <x v="26"/>
    <x v="4"/>
    <s v="AAA, práce, práce za rohem, Inwork"/>
    <s v="checking CVs"/>
    <n v="14"/>
    <n v="11"/>
    <n v="3"/>
  </r>
  <r>
    <s v="RPL"/>
    <s v="fill cap"/>
    <x v="2"/>
    <d v="2026-02-10T00:00:00"/>
    <n v="22"/>
    <n v="178677"/>
    <x v="8"/>
    <s v="OPS"/>
    <s v="Helper - Brno"/>
    <s v="26 000 + 0 - 8 000 KPI"/>
    <x v="21"/>
    <x v="2"/>
    <s v="AAA, dobraprace, pracezarohem, práce cz"/>
    <s v="Hiring: Mejzlík (dle LP)_x000a_After 2nd: Ptáček_x000a_For 2nd: Boháček (??), Mach_x000a_Didnt come: Komárek, Kučera_x000a_Refused offer: Šíla_x000a_Checking CV"/>
    <n v="18"/>
    <n v="15"/>
    <n v="2"/>
  </r>
  <r>
    <s v="RPL"/>
    <s v="Tetur"/>
    <x v="2"/>
    <d v="2026-02-23T00:00:00"/>
    <n v="9"/>
    <n v="178677"/>
    <x v="8"/>
    <s v="OPS"/>
    <s v="DPP Driver - Brno"/>
    <s v="140 kč/Hod"/>
    <x v="21"/>
    <x v="2"/>
    <s v="AAA, dobraprace, pracezarohem, práce cz"/>
    <s v="After 2nd: Rohrbacher (27.2.)_x000a_Checking CV´s"/>
    <n v="3.5"/>
    <n v="3"/>
    <n v="1"/>
  </r>
  <r>
    <m/>
    <s v="Moravia 1"/>
    <x v="22"/>
    <m/>
    <m/>
    <m/>
    <x v="0"/>
    <m/>
    <m/>
    <m/>
    <x v="27"/>
    <x v="0"/>
    <m/>
    <m/>
    <m/>
    <m/>
    <m/>
  </r>
  <r>
    <s v="RPL"/>
    <s v="Škarvada"/>
    <x v="22"/>
    <d v="2026-01-30T00:00:00"/>
    <n v="33"/>
    <m/>
    <x v="6"/>
    <s v="Selling"/>
    <s v="Salesman - Jihlava"/>
    <s v="25 000 + %"/>
    <x v="25"/>
    <x v="7"/>
    <s v="AAA, prace.cz"/>
    <s v="No after 2nd 3x_x000a_Checking CVs"/>
    <n v="4"/>
    <n v="4"/>
    <n v="1"/>
  </r>
  <r>
    <s v="RPL"/>
    <s v="fill cap"/>
    <x v="22"/>
    <d v="2026-02-17T00:00:00"/>
    <n v="15"/>
    <n v="178677"/>
    <x v="8"/>
    <s v="OPS"/>
    <s v="Driver - Jihlava"/>
    <s v="140 kč/Hod"/>
    <x v="21"/>
    <x v="2"/>
    <s v="AAA, dobraprace, pracezarohem, práce cz"/>
    <s v="After 2nd: Pekárek (nezvedá tel)_x000a_Refused offer: Janovský _x000a_Hired: Pěnička (17.2.)"/>
    <n v="1.5"/>
    <n v="1.1499999999999999"/>
    <n v="1"/>
  </r>
  <r>
    <m/>
    <s v="Moravia 1"/>
    <x v="23"/>
    <m/>
    <m/>
    <m/>
    <x v="0"/>
    <m/>
    <m/>
    <m/>
    <x v="0"/>
    <x v="0"/>
    <m/>
    <m/>
    <m/>
    <m/>
    <m/>
  </r>
  <r>
    <s v="RPL"/>
    <s v="Holub"/>
    <x v="23"/>
    <d v="2026-02-25T00:00:00"/>
    <n v="7"/>
    <s v="DPP"/>
    <x v="8"/>
    <s v="OPS "/>
    <s v="Driver DPP Olomouc"/>
    <s v="125 Kč/hod"/>
    <x v="21"/>
    <x v="6"/>
    <s v="AAA, fajnbrigady, dobraprace, jobdnes"/>
    <s v="Checking CV_x000a_Hired: Zháněl(13.1), Vlášek (3.2), Esson (2.2), Sádecký(25.2)"/>
    <n v="1.25"/>
    <n v="1.25"/>
    <n v="2"/>
  </r>
  <r>
    <m/>
    <s v="Moravia 1"/>
    <x v="24"/>
    <m/>
    <m/>
    <m/>
    <x v="0"/>
    <m/>
    <m/>
    <m/>
    <x v="0"/>
    <x v="0"/>
    <m/>
    <m/>
    <m/>
    <m/>
    <m/>
  </r>
  <r>
    <m/>
    <s v="Moravia 2"/>
    <x v="25"/>
    <m/>
    <m/>
    <m/>
    <x v="0"/>
    <m/>
    <m/>
    <m/>
    <x v="0"/>
    <x v="0"/>
    <m/>
    <m/>
    <m/>
    <m/>
    <m/>
  </r>
  <r>
    <s v="RPL"/>
    <s v="Motyčka"/>
    <x v="25"/>
    <d v="2026-01-23T00:00:00"/>
    <n v="40"/>
    <m/>
    <x v="6"/>
    <s v="Salesman"/>
    <s v="Salesman - Opava"/>
    <s v="25 000 + % "/>
    <x v="28"/>
    <x v="1"/>
    <s v="AAA, práce, inwork"/>
    <s v=" for 3rd: Kohaut (20.2.)_x000a_No after 2nd: Ščuka, Kurečka, Šafár, Hartel"/>
    <n v="3"/>
    <n v="3"/>
    <n v="1"/>
  </r>
  <r>
    <m/>
    <s v="Moravia 2"/>
    <x v="1"/>
    <m/>
    <m/>
    <m/>
    <x v="0"/>
    <m/>
    <m/>
    <m/>
    <x v="0"/>
    <x v="0"/>
    <m/>
    <m/>
    <m/>
    <m/>
    <m/>
  </r>
  <r>
    <s v="RPL"/>
    <s v="Vídeňský"/>
    <x v="1"/>
    <d v="2026-02-02T00:00:00"/>
    <n v="30"/>
    <s v="_x000a_177033"/>
    <x v="6"/>
    <s v="Selling"/>
    <s v="Salesman - Ostrava"/>
    <s v="25.000 + %"/>
    <x v="28"/>
    <x v="1"/>
    <s v="AAA, práce, inwork"/>
    <s v="Hiring: Bartošík (2.3.)_x000a_Reffused offer Chylík,  Zajíc, Kremser_x000a_Hired Jonáš (2.2.) Červeň, Kromer (1.12.)_x000a_No after 2nd: Hejl (assis), Kmeťo_x000a_Didint come: Cmiel, Kamrád, Ulčák_x000a_No after 2nd: Remeš "/>
    <n v="12.5"/>
    <n v="11.5"/>
    <n v="1"/>
  </r>
  <r>
    <s v="RPL"/>
    <s v="Válový, Čermák"/>
    <x v="1"/>
    <d v="2026-03-04T00:00:00"/>
    <n v="0"/>
    <m/>
    <x v="8"/>
    <s v="OPS "/>
    <s v="Helper - Ostrava"/>
    <s v="26 000+0-6 000 KPI"/>
    <x v="21"/>
    <x v="6"/>
    <s v="AAA, dobraprace, prace.cz, pracezarohem"/>
    <s v="Hiring: Hadravský (4.3)_x000a_Refused offer: Hříva "/>
    <n v="16"/>
    <n v="16"/>
    <n v="1"/>
  </r>
  <r>
    <s v="RPL"/>
    <s v="Michálek, Bonalsky"/>
    <x v="1"/>
    <d v="2026-02-26T00:00:00"/>
    <n v="6"/>
    <m/>
    <x v="8"/>
    <s v="OPS "/>
    <s v="Driver DPP Ostrava"/>
    <s v="140,-Kč/hod."/>
    <x v="21"/>
    <x v="6"/>
    <s v="AAA, dobraprace, prace.cz, pracezarohem"/>
    <s v="Hiring: Dulaj (LP)_x000a_Hired: Milt (26.2)_x000a_No after1st: Kukuča(6.2)"/>
    <n v="2.5"/>
    <n v="2"/>
    <n v="3"/>
  </r>
  <r>
    <m/>
    <s v="Moravia 2"/>
    <x v="26"/>
    <m/>
    <m/>
    <m/>
    <x v="0"/>
    <m/>
    <m/>
    <m/>
    <x v="0"/>
    <x v="0"/>
    <m/>
    <m/>
    <m/>
    <m/>
    <m/>
  </r>
  <r>
    <s v="RPL"/>
    <s v="Korbel"/>
    <x v="26"/>
    <d v="2026-02-17T00:00:00"/>
    <n v="15"/>
    <m/>
    <x v="6"/>
    <s v="Selling"/>
    <s v="Salesman - Pardubice"/>
    <s v="25.000 + %"/>
    <x v="28"/>
    <x v="1"/>
    <s v="AAA, práce, inwork"/>
    <s v="New request"/>
    <n v="4"/>
    <n v="4"/>
    <n v="1"/>
  </r>
  <r>
    <s v="RPL"/>
    <s v="Prokop Dostál"/>
    <x v="26"/>
    <d v="2026-02-12T00:00:00"/>
    <n v="20"/>
    <s v="Waiting for RFP"/>
    <x v="8"/>
    <s v="OPS"/>
    <s v="Driver - Pardubice"/>
    <s v="140,-Kč/hod."/>
    <x v="21"/>
    <x v="2"/>
    <s v="AAA, prace.cz, práce za rohem, jobs"/>
    <s v="Refused offer: Pavlík, Vitmar_x000a_Checking CV´s"/>
    <n v="1.75"/>
    <n v="1.5"/>
    <n v="1"/>
  </r>
  <r>
    <m/>
    <s v="Moravia 2"/>
    <x v="27"/>
    <m/>
    <m/>
    <m/>
    <x v="0"/>
    <m/>
    <m/>
    <m/>
    <x v="0"/>
    <x v="0"/>
    <m/>
    <m/>
    <m/>
    <m/>
    <m/>
  </r>
  <r>
    <s v="RPL"/>
    <s v="Matěj Novák"/>
    <x v="27"/>
    <d v="2026-01-05T00:00:00"/>
    <n v="58"/>
    <s v="_x000a_177092"/>
    <x v="6"/>
    <s v="Selling"/>
    <s v="Salesman - Otrokovice"/>
    <s v="22.000 + %_x000a_"/>
    <x v="28"/>
    <x v="1"/>
    <s v="AAA, práce, inwork"/>
    <s v="For 2nd: Pernický (20.2.)Reff. Off.: Dostál_x000a_Hired: Jaroš (5. 1. 2026)"/>
    <n v="5"/>
    <n v="5"/>
    <n v="1"/>
  </r>
  <r>
    <s v="RPL"/>
    <s v="fill cap"/>
    <x v="27"/>
    <d v="2026-03-03T00:00:00"/>
    <n v="1"/>
    <m/>
    <x v="8"/>
    <s v="OPS "/>
    <s v="Driver DPP Otrokovice"/>
    <s v="140,-Kč/hod."/>
    <x v="21"/>
    <x v="6"/>
    <s v="AAA, dobraprace, prace.cz, pracezarohem"/>
    <s v="Hired: Halámek (3.3)_x000a_Hiring: Straka (LP), _x000a_Refused offer: Knot"/>
    <n v="1.75"/>
    <n v="1"/>
    <n v="2"/>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10"/>
    <m/>
    <m/>
    <m/>
    <x v="0"/>
    <x v="0"/>
    <m/>
    <m/>
    <m/>
    <m/>
    <n v="0"/>
  </r>
  <r>
    <m/>
    <m/>
    <x v="28"/>
    <m/>
    <m/>
    <m/>
    <x v="6"/>
    <m/>
    <m/>
    <m/>
    <x v="0"/>
    <x v="0"/>
    <m/>
    <m/>
    <m/>
    <m/>
    <n v="0"/>
  </r>
  <r>
    <m/>
    <m/>
    <x v="28"/>
    <m/>
    <m/>
    <m/>
    <x v="9"/>
    <m/>
    <m/>
    <m/>
    <x v="0"/>
    <x v="0"/>
    <m/>
    <m/>
    <m/>
    <m/>
    <n v="0"/>
  </r>
  <r>
    <m/>
    <m/>
    <x v="28"/>
    <m/>
    <m/>
    <m/>
    <x v="8"/>
    <m/>
    <m/>
    <m/>
    <x v="0"/>
    <x v="0"/>
    <m/>
    <m/>
    <m/>
    <m/>
    <n v="0"/>
  </r>
  <r>
    <m/>
    <m/>
    <x v="28"/>
    <m/>
    <m/>
    <m/>
    <x v="7"/>
    <m/>
    <m/>
    <m/>
    <x v="0"/>
    <x v="0"/>
    <m/>
    <m/>
    <m/>
    <m/>
    <n v="0"/>
  </r>
  <r>
    <m/>
    <m/>
    <x v="28"/>
    <m/>
    <m/>
    <m/>
    <x v="11"/>
    <m/>
    <m/>
    <m/>
    <x v="0"/>
    <x v="0"/>
    <m/>
    <m/>
    <m/>
    <m/>
    <n v="0"/>
  </r>
  <r>
    <m/>
    <m/>
    <x v="28"/>
    <m/>
    <m/>
    <m/>
    <x v="5"/>
    <m/>
    <m/>
    <m/>
    <x v="0"/>
    <x v="0"/>
    <m/>
    <m/>
    <m/>
    <m/>
    <n v="0"/>
  </r>
  <r>
    <m/>
    <m/>
    <x v="28"/>
    <m/>
    <m/>
    <m/>
    <x v="2"/>
    <m/>
    <m/>
    <m/>
    <x v="0"/>
    <x v="0"/>
    <m/>
    <m/>
    <m/>
    <m/>
    <n v="0"/>
  </r>
  <r>
    <m/>
    <m/>
    <x v="28"/>
    <m/>
    <m/>
    <m/>
    <x v="12"/>
    <m/>
    <m/>
    <m/>
    <x v="0"/>
    <x v="0"/>
    <m/>
    <m/>
    <m/>
    <m/>
    <n v="0"/>
  </r>
  <r>
    <m/>
    <m/>
    <x v="28"/>
    <m/>
    <m/>
    <m/>
    <x v="3"/>
    <m/>
    <m/>
    <m/>
    <x v="0"/>
    <x v="0"/>
    <m/>
    <m/>
    <m/>
    <m/>
    <n v="0"/>
  </r>
  <r>
    <m/>
    <m/>
    <x v="28"/>
    <m/>
    <m/>
    <m/>
    <x v="1"/>
    <m/>
    <m/>
    <m/>
    <x v="0"/>
    <x v="0"/>
    <m/>
    <m/>
    <m/>
    <m/>
    <n v="0"/>
  </r>
  <r>
    <m/>
    <m/>
    <x v="28"/>
    <m/>
    <m/>
    <m/>
    <x v="13"/>
    <m/>
    <m/>
    <m/>
    <x v="0"/>
    <x v="0"/>
    <m/>
    <m/>
    <m/>
    <m/>
    <n v="0"/>
  </r>
  <r>
    <m/>
    <m/>
    <x v="28"/>
    <m/>
    <m/>
    <m/>
    <x v="14"/>
    <m/>
    <m/>
    <m/>
    <x v="0"/>
    <x v="0"/>
    <m/>
    <m/>
    <m/>
    <m/>
    <n v="0"/>
  </r>
  <r>
    <m/>
    <m/>
    <x v="28"/>
    <m/>
    <m/>
    <m/>
    <x v="15"/>
    <m/>
    <m/>
    <m/>
    <x v="0"/>
    <x v="0"/>
    <m/>
    <m/>
    <m/>
    <m/>
    <n v="0"/>
  </r>
  <r>
    <m/>
    <m/>
    <x v="28"/>
    <m/>
    <m/>
    <m/>
    <x v="16"/>
    <m/>
    <m/>
    <m/>
    <x v="0"/>
    <x v="0"/>
    <m/>
    <m/>
    <m/>
    <m/>
    <n v="0"/>
  </r>
  <r>
    <m/>
    <m/>
    <x v="28"/>
    <m/>
    <m/>
    <m/>
    <x v="17"/>
    <m/>
    <m/>
    <m/>
    <x v="0"/>
    <x v="0"/>
    <m/>
    <m/>
    <m/>
    <m/>
    <n v="0"/>
  </r>
  <r>
    <m/>
    <m/>
    <x v="28"/>
    <m/>
    <m/>
    <m/>
    <x v="4"/>
    <m/>
    <m/>
    <m/>
    <x v="0"/>
    <x v="0"/>
    <m/>
    <m/>
    <m/>
    <m/>
    <n v="0"/>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r>
    <m/>
    <m/>
    <x v="28"/>
    <m/>
    <m/>
    <m/>
    <x v="0"/>
    <m/>
    <m/>
    <m/>
    <x v="0"/>
    <x v="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C5FA1D-C7FA-4C47-BB67-0631381D1645}" name="Kontingenční tabulka1" cacheId="3503" applyNumberFormats="0" applyBorderFormats="0" applyFontFormats="0" applyPatternFormats="0" applyAlignmentFormats="0" applyWidthHeightFormats="1" dataCaption="Hodnoty" updatedVersion="8" minRefreshableVersion="3" useAutoFormatting="1" itemPrintTitles="1" createdVersion="8" indent="0" outline="1" outlineData="1" multipleFieldFilters="0" chartFormat="1" rowHeaderCaption="Vac by branch">
  <location ref="A35:B60" firstHeaderRow="1" firstDataRow="1" firstDataCol="1"/>
  <pivotFields count="17">
    <pivotField showAll="0"/>
    <pivotField showAll="0"/>
    <pivotField axis="axisRow" showAll="0" sortType="descending">
      <items count="36">
        <item x="2"/>
        <item x="5"/>
        <item x="9"/>
        <item x="17"/>
        <item x="13"/>
        <item x="22"/>
        <item x="3"/>
        <item x="11"/>
        <item x="18"/>
        <item x="4"/>
        <item x="19"/>
        <item x="6"/>
        <item x="23"/>
        <item x="25"/>
        <item x="1"/>
        <item x="27"/>
        <item x="26"/>
        <item x="14"/>
        <item x="8"/>
        <item h="1" x="0"/>
        <item x="15"/>
        <item x="16"/>
        <item x="20"/>
        <item x="21"/>
        <item x="24"/>
        <item h="1" x="12"/>
        <item h="1" m="1" x="32"/>
        <item h="1" m="1" x="34"/>
        <item h="1" m="1" x="33"/>
        <item h="1" m="1" x="31"/>
        <item h="1" m="1" x="29"/>
        <item h="1" x="7"/>
        <item h="1" m="1" x="30"/>
        <item h="1" x="10"/>
        <item h="1" x="2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25">
    <i>
      <x v="18"/>
    </i>
    <i>
      <x v="14"/>
    </i>
    <i>
      <x/>
    </i>
    <i>
      <x v="9"/>
    </i>
    <i>
      <x v="22"/>
    </i>
    <i>
      <x v="1"/>
    </i>
    <i>
      <x v="2"/>
    </i>
    <i>
      <x v="20"/>
    </i>
    <i>
      <x v="6"/>
    </i>
    <i>
      <x v="4"/>
    </i>
    <i>
      <x v="15"/>
    </i>
    <i>
      <x v="8"/>
    </i>
    <i>
      <x v="16"/>
    </i>
    <i>
      <x v="5"/>
    </i>
    <i>
      <x v="17"/>
    </i>
    <i>
      <x v="23"/>
    </i>
    <i>
      <x v="12"/>
    </i>
    <i>
      <x v="13"/>
    </i>
    <i>
      <x v="10"/>
    </i>
    <i>
      <x v="3"/>
    </i>
    <i>
      <x v="24"/>
    </i>
    <i>
      <x v="21"/>
    </i>
    <i>
      <x v="7"/>
    </i>
    <i>
      <x v="11"/>
    </i>
    <i t="grand">
      <x/>
    </i>
  </rowItems>
  <colItems count="1">
    <i/>
  </colItems>
  <dataFields count="1">
    <dataField name="Vacancies" fld="16" baseField="0" baseItem="0"/>
  </dataFields>
  <formats count="348">
    <format dxfId="1259">
      <pivotArea type="all" dataOnly="0" outline="0" fieldPosition="0"/>
    </format>
    <format dxfId="1260">
      <pivotArea field="2" type="button" dataOnly="0" labelOnly="1" outline="0" axis="axisRow" fieldPosition="0"/>
    </format>
    <format dxfId="1261">
      <pivotArea dataOnly="0" labelOnly="1" fieldPosition="0">
        <references count="1">
          <reference field="2" count="0"/>
        </references>
      </pivotArea>
    </format>
    <format dxfId="1262">
      <pivotArea dataOnly="0" labelOnly="1" grandRow="1" outline="0" fieldPosition="0"/>
    </format>
    <format dxfId="1263">
      <pivotArea dataOnly="0" labelOnly="1" outline="0" axis="axisValues" fieldPosition="0"/>
    </format>
    <format dxfId="1264">
      <pivotArea field="2" type="button" dataOnly="0" labelOnly="1" outline="0" axis="axisRow" fieldPosition="0"/>
    </format>
    <format dxfId="1265">
      <pivotArea dataOnly="0" labelOnly="1" outline="0" axis="axisValues" fieldPosition="0"/>
    </format>
    <format dxfId="1266">
      <pivotArea field="2" type="button" dataOnly="0" labelOnly="1" outline="0" axis="axisRow" fieldPosition="0"/>
    </format>
    <format dxfId="1267">
      <pivotArea dataOnly="0" labelOnly="1" outline="0" axis="axisValues" fieldPosition="0"/>
    </format>
    <format dxfId="1268">
      <pivotArea field="2" type="button" dataOnly="0" labelOnly="1" outline="0" axis="axisRow" fieldPosition="0"/>
    </format>
    <format dxfId="1269">
      <pivotArea dataOnly="0" labelOnly="1" outline="0" axis="axisValues" fieldPosition="0"/>
    </format>
    <format dxfId="1270">
      <pivotArea field="2" type="button" dataOnly="0" labelOnly="1" outline="0" axis="axisRow" fieldPosition="0"/>
    </format>
    <format dxfId="1271">
      <pivotArea dataOnly="0" labelOnly="1" outline="0" axis="axisValues" fieldPosition="0"/>
    </format>
    <format dxfId="1272">
      <pivotArea field="2" type="button" dataOnly="0" labelOnly="1" outline="0" axis="axisRow" fieldPosition="0"/>
    </format>
    <format dxfId="1273">
      <pivotArea dataOnly="0" labelOnly="1" outline="0" axis="axisValues" fieldPosition="0"/>
    </format>
    <format dxfId="1274">
      <pivotArea field="2" type="button" dataOnly="0" labelOnly="1" outline="0" axis="axisRow" fieldPosition="0"/>
    </format>
    <format dxfId="1275">
      <pivotArea dataOnly="0" labelOnly="1" outline="0" axis="axisValues" fieldPosition="0"/>
    </format>
    <format dxfId="1276">
      <pivotArea dataOnly="0" labelOnly="1" fieldPosition="0">
        <references count="1">
          <reference field="2" count="1">
            <x v="18"/>
          </reference>
        </references>
      </pivotArea>
    </format>
    <format dxfId="1277">
      <pivotArea dataOnly="0" labelOnly="1" fieldPosition="0">
        <references count="1">
          <reference field="2" count="1">
            <x v="18"/>
          </reference>
        </references>
      </pivotArea>
    </format>
    <format dxfId="1278">
      <pivotArea dataOnly="0" labelOnly="1" fieldPosition="0">
        <references count="1">
          <reference field="2" count="1">
            <x v="18"/>
          </reference>
        </references>
      </pivotArea>
    </format>
    <format dxfId="1279">
      <pivotArea dataOnly="0" labelOnly="1" fieldPosition="0">
        <references count="1">
          <reference field="2" count="1">
            <x v="18"/>
          </reference>
        </references>
      </pivotArea>
    </format>
    <format dxfId="1280">
      <pivotArea dataOnly="0" labelOnly="1" fieldPosition="0">
        <references count="1">
          <reference field="2" count="1">
            <x v="18"/>
          </reference>
        </references>
      </pivotArea>
    </format>
    <format dxfId="1281">
      <pivotArea dataOnly="0" labelOnly="1" fieldPosition="0">
        <references count="1">
          <reference field="2" count="1">
            <x v="18"/>
          </reference>
        </references>
      </pivotArea>
    </format>
    <format dxfId="1282">
      <pivotArea collapsedLevelsAreSubtotals="1" fieldPosition="0">
        <references count="1">
          <reference field="2" count="1">
            <x v="18"/>
          </reference>
        </references>
      </pivotArea>
    </format>
    <format dxfId="1283">
      <pivotArea collapsedLevelsAreSubtotals="1" fieldPosition="0">
        <references count="1">
          <reference field="2" count="1">
            <x v="18"/>
          </reference>
        </references>
      </pivotArea>
    </format>
    <format dxfId="1284">
      <pivotArea collapsedLevelsAreSubtotals="1" fieldPosition="0">
        <references count="1">
          <reference field="2" count="1">
            <x v="18"/>
          </reference>
        </references>
      </pivotArea>
    </format>
    <format dxfId="1285">
      <pivotArea collapsedLevelsAreSubtotals="1" fieldPosition="0">
        <references count="1">
          <reference field="2" count="1">
            <x v="18"/>
          </reference>
        </references>
      </pivotArea>
    </format>
    <format dxfId="1286">
      <pivotArea collapsedLevelsAreSubtotals="1" fieldPosition="0">
        <references count="1">
          <reference field="2" count="1">
            <x v="18"/>
          </reference>
        </references>
      </pivotArea>
    </format>
    <format dxfId="1287">
      <pivotArea collapsedLevelsAreSubtotals="1" fieldPosition="0">
        <references count="1">
          <reference field="2" count="1">
            <x v="18"/>
          </reference>
        </references>
      </pivotArea>
    </format>
    <format dxfId="1288">
      <pivotArea dataOnly="0" labelOnly="1" fieldPosition="0">
        <references count="1">
          <reference field="2" count="1">
            <x v="18"/>
          </reference>
        </references>
      </pivotArea>
    </format>
    <format dxfId="1289">
      <pivotArea dataOnly="0" labelOnly="1" fieldPosition="0">
        <references count="1">
          <reference field="2" count="1">
            <x v="14"/>
          </reference>
        </references>
      </pivotArea>
    </format>
    <format dxfId="1290">
      <pivotArea dataOnly="0" labelOnly="1" fieldPosition="0">
        <references count="1">
          <reference field="2" count="1">
            <x v="14"/>
          </reference>
        </references>
      </pivotArea>
    </format>
    <format dxfId="1291">
      <pivotArea dataOnly="0" labelOnly="1" fieldPosition="0">
        <references count="1">
          <reference field="2" count="1">
            <x v="14"/>
          </reference>
        </references>
      </pivotArea>
    </format>
    <format dxfId="1292">
      <pivotArea dataOnly="0" labelOnly="1" fieldPosition="0">
        <references count="1">
          <reference field="2" count="1">
            <x v="14"/>
          </reference>
        </references>
      </pivotArea>
    </format>
    <format dxfId="1293">
      <pivotArea dataOnly="0" labelOnly="1" fieldPosition="0">
        <references count="1">
          <reference field="2" count="1">
            <x v="14"/>
          </reference>
        </references>
      </pivotArea>
    </format>
    <format dxfId="1294">
      <pivotArea dataOnly="0" labelOnly="1" fieldPosition="0">
        <references count="1">
          <reference field="2" count="1">
            <x v="14"/>
          </reference>
        </references>
      </pivotArea>
    </format>
    <format dxfId="1295">
      <pivotArea collapsedLevelsAreSubtotals="1" fieldPosition="0">
        <references count="1">
          <reference field="2" count="1">
            <x v="14"/>
          </reference>
        </references>
      </pivotArea>
    </format>
    <format dxfId="1296">
      <pivotArea collapsedLevelsAreSubtotals="1" fieldPosition="0">
        <references count="1">
          <reference field="2" count="1">
            <x v="14"/>
          </reference>
        </references>
      </pivotArea>
    </format>
    <format dxfId="1297">
      <pivotArea collapsedLevelsAreSubtotals="1" fieldPosition="0">
        <references count="1">
          <reference field="2" count="1">
            <x v="14"/>
          </reference>
        </references>
      </pivotArea>
    </format>
    <format dxfId="1298">
      <pivotArea collapsedLevelsAreSubtotals="1" fieldPosition="0">
        <references count="1">
          <reference field="2" count="1">
            <x v="14"/>
          </reference>
        </references>
      </pivotArea>
    </format>
    <format dxfId="1299">
      <pivotArea collapsedLevelsAreSubtotals="1" fieldPosition="0">
        <references count="1">
          <reference field="2" count="1">
            <x v="14"/>
          </reference>
        </references>
      </pivotArea>
    </format>
    <format dxfId="1300">
      <pivotArea collapsedLevelsAreSubtotals="1" fieldPosition="0">
        <references count="1">
          <reference field="2" count="1">
            <x v="14"/>
          </reference>
        </references>
      </pivotArea>
    </format>
    <format dxfId="1301">
      <pivotArea dataOnly="0" labelOnly="1" fieldPosition="0">
        <references count="1">
          <reference field="2" count="1">
            <x v="14"/>
          </reference>
        </references>
      </pivotArea>
    </format>
    <format dxfId="1302">
      <pivotArea dataOnly="0" labelOnly="1" fieldPosition="0">
        <references count="1">
          <reference field="2" count="1">
            <x v="0"/>
          </reference>
        </references>
      </pivotArea>
    </format>
    <format dxfId="1303">
      <pivotArea dataOnly="0" labelOnly="1" fieldPosition="0">
        <references count="1">
          <reference field="2" count="1">
            <x v="0"/>
          </reference>
        </references>
      </pivotArea>
    </format>
    <format dxfId="1304">
      <pivotArea dataOnly="0" labelOnly="1" fieldPosition="0">
        <references count="1">
          <reference field="2" count="1">
            <x v="0"/>
          </reference>
        </references>
      </pivotArea>
    </format>
    <format dxfId="1305">
      <pivotArea dataOnly="0" labelOnly="1" fieldPosition="0">
        <references count="1">
          <reference field="2" count="1">
            <x v="0"/>
          </reference>
        </references>
      </pivotArea>
    </format>
    <format dxfId="1306">
      <pivotArea dataOnly="0" labelOnly="1" fieldPosition="0">
        <references count="1">
          <reference field="2" count="1">
            <x v="0"/>
          </reference>
        </references>
      </pivotArea>
    </format>
    <format dxfId="1307">
      <pivotArea dataOnly="0" labelOnly="1" fieldPosition="0">
        <references count="1">
          <reference field="2" count="1">
            <x v="0"/>
          </reference>
        </references>
      </pivotArea>
    </format>
    <format dxfId="1308">
      <pivotArea collapsedLevelsAreSubtotals="1" fieldPosition="0">
        <references count="1">
          <reference field="2" count="1">
            <x v="0"/>
          </reference>
        </references>
      </pivotArea>
    </format>
    <format dxfId="1309">
      <pivotArea collapsedLevelsAreSubtotals="1" fieldPosition="0">
        <references count="1">
          <reference field="2" count="1">
            <x v="0"/>
          </reference>
        </references>
      </pivotArea>
    </format>
    <format dxfId="1310">
      <pivotArea collapsedLevelsAreSubtotals="1" fieldPosition="0">
        <references count="1">
          <reference field="2" count="1">
            <x v="0"/>
          </reference>
        </references>
      </pivotArea>
    </format>
    <format dxfId="1311">
      <pivotArea collapsedLevelsAreSubtotals="1" fieldPosition="0">
        <references count="1">
          <reference field="2" count="1">
            <x v="0"/>
          </reference>
        </references>
      </pivotArea>
    </format>
    <format dxfId="1312">
      <pivotArea collapsedLevelsAreSubtotals="1" fieldPosition="0">
        <references count="1">
          <reference field="2" count="1">
            <x v="0"/>
          </reference>
        </references>
      </pivotArea>
    </format>
    <format dxfId="1313">
      <pivotArea collapsedLevelsAreSubtotals="1" fieldPosition="0">
        <references count="1">
          <reference field="2" count="1">
            <x v="0"/>
          </reference>
        </references>
      </pivotArea>
    </format>
    <format dxfId="1314">
      <pivotArea dataOnly="0" labelOnly="1" fieldPosition="0">
        <references count="1">
          <reference field="2" count="1">
            <x v="0"/>
          </reference>
        </references>
      </pivotArea>
    </format>
    <format dxfId="1315">
      <pivotArea dataOnly="0" labelOnly="1" fieldPosition="0">
        <references count="1">
          <reference field="2" count="1">
            <x v="9"/>
          </reference>
        </references>
      </pivotArea>
    </format>
    <format dxfId="1316">
      <pivotArea dataOnly="0" labelOnly="1" fieldPosition="0">
        <references count="1">
          <reference field="2" count="1">
            <x v="9"/>
          </reference>
        </references>
      </pivotArea>
    </format>
    <format dxfId="1317">
      <pivotArea dataOnly="0" labelOnly="1" fieldPosition="0">
        <references count="1">
          <reference field="2" count="1">
            <x v="9"/>
          </reference>
        </references>
      </pivotArea>
    </format>
    <format dxfId="1318">
      <pivotArea dataOnly="0" labelOnly="1" fieldPosition="0">
        <references count="1">
          <reference field="2" count="1">
            <x v="9"/>
          </reference>
        </references>
      </pivotArea>
    </format>
    <format dxfId="1319">
      <pivotArea dataOnly="0" labelOnly="1" fieldPosition="0">
        <references count="1">
          <reference field="2" count="1">
            <x v="9"/>
          </reference>
        </references>
      </pivotArea>
    </format>
    <format dxfId="1320">
      <pivotArea dataOnly="0" labelOnly="1" fieldPosition="0">
        <references count="1">
          <reference field="2" count="1">
            <x v="9"/>
          </reference>
        </references>
      </pivotArea>
    </format>
    <format dxfId="1321">
      <pivotArea collapsedLevelsAreSubtotals="1" fieldPosition="0">
        <references count="1">
          <reference field="2" count="1">
            <x v="9"/>
          </reference>
        </references>
      </pivotArea>
    </format>
    <format dxfId="1322">
      <pivotArea collapsedLevelsAreSubtotals="1" fieldPosition="0">
        <references count="1">
          <reference field="2" count="1">
            <x v="9"/>
          </reference>
        </references>
      </pivotArea>
    </format>
    <format dxfId="1323">
      <pivotArea collapsedLevelsAreSubtotals="1" fieldPosition="0">
        <references count="1">
          <reference field="2" count="1">
            <x v="9"/>
          </reference>
        </references>
      </pivotArea>
    </format>
    <format dxfId="1324">
      <pivotArea collapsedLevelsAreSubtotals="1" fieldPosition="0">
        <references count="1">
          <reference field="2" count="1">
            <x v="9"/>
          </reference>
        </references>
      </pivotArea>
    </format>
    <format dxfId="1325">
      <pivotArea collapsedLevelsAreSubtotals="1" fieldPosition="0">
        <references count="1">
          <reference field="2" count="1">
            <x v="9"/>
          </reference>
        </references>
      </pivotArea>
    </format>
    <format dxfId="1326">
      <pivotArea collapsedLevelsAreSubtotals="1" fieldPosition="0">
        <references count="1">
          <reference field="2" count="1">
            <x v="9"/>
          </reference>
        </references>
      </pivotArea>
    </format>
    <format dxfId="1327">
      <pivotArea dataOnly="0" labelOnly="1" fieldPosition="0">
        <references count="1">
          <reference field="2" count="1">
            <x v="9"/>
          </reference>
        </references>
      </pivotArea>
    </format>
    <format dxfId="1328">
      <pivotArea dataOnly="0" labelOnly="1" fieldPosition="0">
        <references count="1">
          <reference field="2" count="1">
            <x v="22"/>
          </reference>
        </references>
      </pivotArea>
    </format>
    <format dxfId="1329">
      <pivotArea dataOnly="0" labelOnly="1" fieldPosition="0">
        <references count="1">
          <reference field="2" count="1">
            <x v="22"/>
          </reference>
        </references>
      </pivotArea>
    </format>
    <format dxfId="1330">
      <pivotArea dataOnly="0" labelOnly="1" fieldPosition="0">
        <references count="1">
          <reference field="2" count="1">
            <x v="22"/>
          </reference>
        </references>
      </pivotArea>
    </format>
    <format dxfId="1331">
      <pivotArea dataOnly="0" labelOnly="1" fieldPosition="0">
        <references count="1">
          <reference field="2" count="1">
            <x v="22"/>
          </reference>
        </references>
      </pivotArea>
    </format>
    <format dxfId="1332">
      <pivotArea dataOnly="0" labelOnly="1" fieldPosition="0">
        <references count="1">
          <reference field="2" count="1">
            <x v="22"/>
          </reference>
        </references>
      </pivotArea>
    </format>
    <format dxfId="1333">
      <pivotArea dataOnly="0" labelOnly="1" fieldPosition="0">
        <references count="1">
          <reference field="2" count="1">
            <x v="22"/>
          </reference>
        </references>
      </pivotArea>
    </format>
    <format dxfId="1334">
      <pivotArea collapsedLevelsAreSubtotals="1" fieldPosition="0">
        <references count="1">
          <reference field="2" count="1">
            <x v="22"/>
          </reference>
        </references>
      </pivotArea>
    </format>
    <format dxfId="1335">
      <pivotArea collapsedLevelsAreSubtotals="1" fieldPosition="0">
        <references count="1">
          <reference field="2" count="1">
            <x v="22"/>
          </reference>
        </references>
      </pivotArea>
    </format>
    <format dxfId="1336">
      <pivotArea collapsedLevelsAreSubtotals="1" fieldPosition="0">
        <references count="1">
          <reference field="2" count="1">
            <x v="22"/>
          </reference>
        </references>
      </pivotArea>
    </format>
    <format dxfId="1337">
      <pivotArea collapsedLevelsAreSubtotals="1" fieldPosition="0">
        <references count="1">
          <reference field="2" count="1">
            <x v="22"/>
          </reference>
        </references>
      </pivotArea>
    </format>
    <format dxfId="1338">
      <pivotArea collapsedLevelsAreSubtotals="1" fieldPosition="0">
        <references count="1">
          <reference field="2" count="1">
            <x v="22"/>
          </reference>
        </references>
      </pivotArea>
    </format>
    <format dxfId="1339">
      <pivotArea collapsedLevelsAreSubtotals="1" fieldPosition="0">
        <references count="1">
          <reference field="2" count="1">
            <x v="22"/>
          </reference>
        </references>
      </pivotArea>
    </format>
    <format dxfId="1340">
      <pivotArea dataOnly="0" labelOnly="1" fieldPosition="0">
        <references count="1">
          <reference field="2" count="1">
            <x v="22"/>
          </reference>
        </references>
      </pivotArea>
    </format>
    <format dxfId="1341">
      <pivotArea dataOnly="0" labelOnly="1" fieldPosition="0">
        <references count="1">
          <reference field="2" count="1">
            <x v="1"/>
          </reference>
        </references>
      </pivotArea>
    </format>
    <format dxfId="1342">
      <pivotArea dataOnly="0" labelOnly="1" fieldPosition="0">
        <references count="1">
          <reference field="2" count="1">
            <x v="1"/>
          </reference>
        </references>
      </pivotArea>
    </format>
    <format dxfId="1343">
      <pivotArea dataOnly="0" labelOnly="1" fieldPosition="0">
        <references count="1">
          <reference field="2" count="1">
            <x v="1"/>
          </reference>
        </references>
      </pivotArea>
    </format>
    <format dxfId="1344">
      <pivotArea dataOnly="0" labelOnly="1" fieldPosition="0">
        <references count="1">
          <reference field="2" count="1">
            <x v="1"/>
          </reference>
        </references>
      </pivotArea>
    </format>
    <format dxfId="1345">
      <pivotArea dataOnly="0" labelOnly="1" fieldPosition="0">
        <references count="1">
          <reference field="2" count="1">
            <x v="1"/>
          </reference>
        </references>
      </pivotArea>
    </format>
    <format dxfId="1346">
      <pivotArea dataOnly="0" labelOnly="1" fieldPosition="0">
        <references count="1">
          <reference field="2" count="1">
            <x v="1"/>
          </reference>
        </references>
      </pivotArea>
    </format>
    <format dxfId="1347">
      <pivotArea collapsedLevelsAreSubtotals="1" fieldPosition="0">
        <references count="1">
          <reference field="2" count="1">
            <x v="1"/>
          </reference>
        </references>
      </pivotArea>
    </format>
    <format dxfId="1348">
      <pivotArea collapsedLevelsAreSubtotals="1" fieldPosition="0">
        <references count="1">
          <reference field="2" count="1">
            <x v="1"/>
          </reference>
        </references>
      </pivotArea>
    </format>
    <format dxfId="1349">
      <pivotArea collapsedLevelsAreSubtotals="1" fieldPosition="0">
        <references count="1">
          <reference field="2" count="1">
            <x v="1"/>
          </reference>
        </references>
      </pivotArea>
    </format>
    <format dxfId="1350">
      <pivotArea collapsedLevelsAreSubtotals="1" fieldPosition="0">
        <references count="1">
          <reference field="2" count="1">
            <x v="1"/>
          </reference>
        </references>
      </pivotArea>
    </format>
    <format dxfId="1351">
      <pivotArea collapsedLevelsAreSubtotals="1" fieldPosition="0">
        <references count="1">
          <reference field="2" count="1">
            <x v="1"/>
          </reference>
        </references>
      </pivotArea>
    </format>
    <format dxfId="1352">
      <pivotArea collapsedLevelsAreSubtotals="1" fieldPosition="0">
        <references count="1">
          <reference field="2" count="1">
            <x v="1"/>
          </reference>
        </references>
      </pivotArea>
    </format>
    <format dxfId="1353">
      <pivotArea dataOnly="0" labelOnly="1" fieldPosition="0">
        <references count="1">
          <reference field="2" count="1">
            <x v="1"/>
          </reference>
        </references>
      </pivotArea>
    </format>
    <format dxfId="1354">
      <pivotArea dataOnly="0" labelOnly="1" fieldPosition="0">
        <references count="1">
          <reference field="2" count="1">
            <x v="2"/>
          </reference>
        </references>
      </pivotArea>
    </format>
    <format dxfId="1355">
      <pivotArea dataOnly="0" labelOnly="1" fieldPosition="0">
        <references count="1">
          <reference field="2" count="1">
            <x v="2"/>
          </reference>
        </references>
      </pivotArea>
    </format>
    <format dxfId="1356">
      <pivotArea dataOnly="0" labelOnly="1" fieldPosition="0">
        <references count="1">
          <reference field="2" count="1">
            <x v="2"/>
          </reference>
        </references>
      </pivotArea>
    </format>
    <format dxfId="1357">
      <pivotArea dataOnly="0" labelOnly="1" fieldPosition="0">
        <references count="1">
          <reference field="2" count="1">
            <x v="2"/>
          </reference>
        </references>
      </pivotArea>
    </format>
    <format dxfId="1358">
      <pivotArea dataOnly="0" labelOnly="1" fieldPosition="0">
        <references count="1">
          <reference field="2" count="1">
            <x v="2"/>
          </reference>
        </references>
      </pivotArea>
    </format>
    <format dxfId="1359">
      <pivotArea dataOnly="0" labelOnly="1" fieldPosition="0">
        <references count="1">
          <reference field="2" count="1">
            <x v="2"/>
          </reference>
        </references>
      </pivotArea>
    </format>
    <format dxfId="1360">
      <pivotArea collapsedLevelsAreSubtotals="1" fieldPosition="0">
        <references count="1">
          <reference field="2" count="1">
            <x v="2"/>
          </reference>
        </references>
      </pivotArea>
    </format>
    <format dxfId="1361">
      <pivotArea collapsedLevelsAreSubtotals="1" fieldPosition="0">
        <references count="1">
          <reference field="2" count="1">
            <x v="2"/>
          </reference>
        </references>
      </pivotArea>
    </format>
    <format dxfId="1362">
      <pivotArea collapsedLevelsAreSubtotals="1" fieldPosition="0">
        <references count="1">
          <reference field="2" count="1">
            <x v="2"/>
          </reference>
        </references>
      </pivotArea>
    </format>
    <format dxfId="1363">
      <pivotArea collapsedLevelsAreSubtotals="1" fieldPosition="0">
        <references count="1">
          <reference field="2" count="1">
            <x v="2"/>
          </reference>
        </references>
      </pivotArea>
    </format>
    <format dxfId="1364">
      <pivotArea collapsedLevelsAreSubtotals="1" fieldPosition="0">
        <references count="1">
          <reference field="2" count="1">
            <x v="2"/>
          </reference>
        </references>
      </pivotArea>
    </format>
    <format dxfId="1365">
      <pivotArea collapsedLevelsAreSubtotals="1" fieldPosition="0">
        <references count="1">
          <reference field="2" count="1">
            <x v="2"/>
          </reference>
        </references>
      </pivotArea>
    </format>
    <format dxfId="1366">
      <pivotArea dataOnly="0" labelOnly="1" fieldPosition="0">
        <references count="1">
          <reference field="2" count="1">
            <x v="2"/>
          </reference>
        </references>
      </pivotArea>
    </format>
    <format dxfId="1367">
      <pivotArea dataOnly="0" labelOnly="1" fieldPosition="0">
        <references count="1">
          <reference field="2" count="1">
            <x v="20"/>
          </reference>
        </references>
      </pivotArea>
    </format>
    <format dxfId="1368">
      <pivotArea dataOnly="0" labelOnly="1" fieldPosition="0">
        <references count="1">
          <reference field="2" count="1">
            <x v="20"/>
          </reference>
        </references>
      </pivotArea>
    </format>
    <format dxfId="1369">
      <pivotArea dataOnly="0" labelOnly="1" fieldPosition="0">
        <references count="1">
          <reference field="2" count="1">
            <x v="20"/>
          </reference>
        </references>
      </pivotArea>
    </format>
    <format dxfId="1370">
      <pivotArea dataOnly="0" labelOnly="1" fieldPosition="0">
        <references count="1">
          <reference field="2" count="1">
            <x v="20"/>
          </reference>
        </references>
      </pivotArea>
    </format>
    <format dxfId="1371">
      <pivotArea dataOnly="0" labelOnly="1" fieldPosition="0">
        <references count="1">
          <reference field="2" count="1">
            <x v="20"/>
          </reference>
        </references>
      </pivotArea>
    </format>
    <format dxfId="1372">
      <pivotArea dataOnly="0" labelOnly="1" fieldPosition="0">
        <references count="1">
          <reference field="2" count="1">
            <x v="20"/>
          </reference>
        </references>
      </pivotArea>
    </format>
    <format dxfId="1373">
      <pivotArea collapsedLevelsAreSubtotals="1" fieldPosition="0">
        <references count="1">
          <reference field="2" count="1">
            <x v="20"/>
          </reference>
        </references>
      </pivotArea>
    </format>
    <format dxfId="1374">
      <pivotArea collapsedLevelsAreSubtotals="1" fieldPosition="0">
        <references count="1">
          <reference field="2" count="1">
            <x v="20"/>
          </reference>
        </references>
      </pivotArea>
    </format>
    <format dxfId="1375">
      <pivotArea collapsedLevelsAreSubtotals="1" fieldPosition="0">
        <references count="1">
          <reference field="2" count="1">
            <x v="20"/>
          </reference>
        </references>
      </pivotArea>
    </format>
    <format dxfId="1376">
      <pivotArea collapsedLevelsAreSubtotals="1" fieldPosition="0">
        <references count="1">
          <reference field="2" count="1">
            <x v="20"/>
          </reference>
        </references>
      </pivotArea>
    </format>
    <format dxfId="1377">
      <pivotArea collapsedLevelsAreSubtotals="1" fieldPosition="0">
        <references count="1">
          <reference field="2" count="1">
            <x v="20"/>
          </reference>
        </references>
      </pivotArea>
    </format>
    <format dxfId="1378">
      <pivotArea collapsedLevelsAreSubtotals="1" fieldPosition="0">
        <references count="1">
          <reference field="2" count="1">
            <x v="20"/>
          </reference>
        </references>
      </pivotArea>
    </format>
    <format dxfId="1379">
      <pivotArea dataOnly="0" labelOnly="1" fieldPosition="0">
        <references count="1">
          <reference field="2" count="1">
            <x v="20"/>
          </reference>
        </references>
      </pivotArea>
    </format>
    <format dxfId="1380">
      <pivotArea dataOnly="0" labelOnly="1" fieldPosition="0">
        <references count="1">
          <reference field="2" count="1">
            <x v="15"/>
          </reference>
        </references>
      </pivotArea>
    </format>
    <format dxfId="1381">
      <pivotArea dataOnly="0" labelOnly="1" fieldPosition="0">
        <references count="1">
          <reference field="2" count="1">
            <x v="15"/>
          </reference>
        </references>
      </pivotArea>
    </format>
    <format dxfId="1382">
      <pivotArea dataOnly="0" labelOnly="1" fieldPosition="0">
        <references count="1">
          <reference field="2" count="1">
            <x v="15"/>
          </reference>
        </references>
      </pivotArea>
    </format>
    <format dxfId="1383">
      <pivotArea dataOnly="0" labelOnly="1" fieldPosition="0">
        <references count="1">
          <reference field="2" count="1">
            <x v="15"/>
          </reference>
        </references>
      </pivotArea>
    </format>
    <format dxfId="1384">
      <pivotArea dataOnly="0" labelOnly="1" fieldPosition="0">
        <references count="1">
          <reference field="2" count="1">
            <x v="15"/>
          </reference>
        </references>
      </pivotArea>
    </format>
    <format dxfId="1385">
      <pivotArea dataOnly="0" labelOnly="1" fieldPosition="0">
        <references count="1">
          <reference field="2" count="1">
            <x v="15"/>
          </reference>
        </references>
      </pivotArea>
    </format>
    <format dxfId="1386">
      <pivotArea collapsedLevelsAreSubtotals="1" fieldPosition="0">
        <references count="1">
          <reference field="2" count="1">
            <x v="15"/>
          </reference>
        </references>
      </pivotArea>
    </format>
    <format dxfId="1387">
      <pivotArea collapsedLevelsAreSubtotals="1" fieldPosition="0">
        <references count="1">
          <reference field="2" count="1">
            <x v="15"/>
          </reference>
        </references>
      </pivotArea>
    </format>
    <format dxfId="1388">
      <pivotArea collapsedLevelsAreSubtotals="1" fieldPosition="0">
        <references count="1">
          <reference field="2" count="1">
            <x v="15"/>
          </reference>
        </references>
      </pivotArea>
    </format>
    <format dxfId="1389">
      <pivotArea collapsedLevelsAreSubtotals="1" fieldPosition="0">
        <references count="1">
          <reference field="2" count="1">
            <x v="15"/>
          </reference>
        </references>
      </pivotArea>
    </format>
    <format dxfId="1390">
      <pivotArea collapsedLevelsAreSubtotals="1" fieldPosition="0">
        <references count="1">
          <reference field="2" count="1">
            <x v="15"/>
          </reference>
        </references>
      </pivotArea>
    </format>
    <format dxfId="1391">
      <pivotArea collapsedLevelsAreSubtotals="1" fieldPosition="0">
        <references count="1">
          <reference field="2" count="1">
            <x v="15"/>
          </reference>
        </references>
      </pivotArea>
    </format>
    <format dxfId="1392">
      <pivotArea dataOnly="0" labelOnly="1" fieldPosition="0">
        <references count="1">
          <reference field="2" count="1">
            <x v="15"/>
          </reference>
        </references>
      </pivotArea>
    </format>
    <format dxfId="1393">
      <pivotArea dataOnly="0" labelOnly="1" fieldPosition="0">
        <references count="1">
          <reference field="2" count="1">
            <x v="4"/>
          </reference>
        </references>
      </pivotArea>
    </format>
    <format dxfId="1394">
      <pivotArea dataOnly="0" labelOnly="1" fieldPosition="0">
        <references count="1">
          <reference field="2" count="1">
            <x v="4"/>
          </reference>
        </references>
      </pivotArea>
    </format>
    <format dxfId="1395">
      <pivotArea dataOnly="0" labelOnly="1" fieldPosition="0">
        <references count="1">
          <reference field="2" count="1">
            <x v="4"/>
          </reference>
        </references>
      </pivotArea>
    </format>
    <format dxfId="1396">
      <pivotArea dataOnly="0" labelOnly="1" fieldPosition="0">
        <references count="1">
          <reference field="2" count="1">
            <x v="4"/>
          </reference>
        </references>
      </pivotArea>
    </format>
    <format dxfId="1397">
      <pivotArea dataOnly="0" labelOnly="1" fieldPosition="0">
        <references count="1">
          <reference field="2" count="1">
            <x v="4"/>
          </reference>
        </references>
      </pivotArea>
    </format>
    <format dxfId="1398">
      <pivotArea dataOnly="0" labelOnly="1" fieldPosition="0">
        <references count="1">
          <reference field="2" count="1">
            <x v="4"/>
          </reference>
        </references>
      </pivotArea>
    </format>
    <format dxfId="1399">
      <pivotArea collapsedLevelsAreSubtotals="1" fieldPosition="0">
        <references count="1">
          <reference field="2" count="1">
            <x v="4"/>
          </reference>
        </references>
      </pivotArea>
    </format>
    <format dxfId="1400">
      <pivotArea collapsedLevelsAreSubtotals="1" fieldPosition="0">
        <references count="1">
          <reference field="2" count="1">
            <x v="4"/>
          </reference>
        </references>
      </pivotArea>
    </format>
    <format dxfId="1401">
      <pivotArea collapsedLevelsAreSubtotals="1" fieldPosition="0">
        <references count="1">
          <reference field="2" count="1">
            <x v="4"/>
          </reference>
        </references>
      </pivotArea>
    </format>
    <format dxfId="1402">
      <pivotArea collapsedLevelsAreSubtotals="1" fieldPosition="0">
        <references count="1">
          <reference field="2" count="1">
            <x v="4"/>
          </reference>
        </references>
      </pivotArea>
    </format>
    <format dxfId="1403">
      <pivotArea collapsedLevelsAreSubtotals="1" fieldPosition="0">
        <references count="1">
          <reference field="2" count="1">
            <x v="4"/>
          </reference>
        </references>
      </pivotArea>
    </format>
    <format dxfId="1404">
      <pivotArea collapsedLevelsAreSubtotals="1" fieldPosition="0">
        <references count="1">
          <reference field="2" count="1">
            <x v="4"/>
          </reference>
        </references>
      </pivotArea>
    </format>
    <format dxfId="1405">
      <pivotArea dataOnly="0" labelOnly="1" fieldPosition="0">
        <references count="1">
          <reference field="2" count="1">
            <x v="4"/>
          </reference>
        </references>
      </pivotArea>
    </format>
    <format dxfId="1406">
      <pivotArea dataOnly="0" labelOnly="1" fieldPosition="0">
        <references count="1">
          <reference field="2" count="1">
            <x v="6"/>
          </reference>
        </references>
      </pivotArea>
    </format>
    <format dxfId="1407">
      <pivotArea dataOnly="0" labelOnly="1" fieldPosition="0">
        <references count="1">
          <reference field="2" count="1">
            <x v="6"/>
          </reference>
        </references>
      </pivotArea>
    </format>
    <format dxfId="1408">
      <pivotArea dataOnly="0" labelOnly="1" fieldPosition="0">
        <references count="1">
          <reference field="2" count="1">
            <x v="6"/>
          </reference>
        </references>
      </pivotArea>
    </format>
    <format dxfId="1409">
      <pivotArea dataOnly="0" labelOnly="1" fieldPosition="0">
        <references count="1">
          <reference field="2" count="1">
            <x v="6"/>
          </reference>
        </references>
      </pivotArea>
    </format>
    <format dxfId="1410">
      <pivotArea dataOnly="0" labelOnly="1" fieldPosition="0">
        <references count="1">
          <reference field="2" count="1">
            <x v="6"/>
          </reference>
        </references>
      </pivotArea>
    </format>
    <format dxfId="1411">
      <pivotArea dataOnly="0" labelOnly="1" fieldPosition="0">
        <references count="1">
          <reference field="2" count="1">
            <x v="6"/>
          </reference>
        </references>
      </pivotArea>
    </format>
    <format dxfId="1412">
      <pivotArea collapsedLevelsAreSubtotals="1" fieldPosition="0">
        <references count="1">
          <reference field="2" count="1">
            <x v="6"/>
          </reference>
        </references>
      </pivotArea>
    </format>
    <format dxfId="1413">
      <pivotArea collapsedLevelsAreSubtotals="1" fieldPosition="0">
        <references count="1">
          <reference field="2" count="1">
            <x v="6"/>
          </reference>
        </references>
      </pivotArea>
    </format>
    <format dxfId="1414">
      <pivotArea collapsedLevelsAreSubtotals="1" fieldPosition="0">
        <references count="1">
          <reference field="2" count="1">
            <x v="6"/>
          </reference>
        </references>
      </pivotArea>
    </format>
    <format dxfId="1415">
      <pivotArea collapsedLevelsAreSubtotals="1" fieldPosition="0">
        <references count="1">
          <reference field="2" count="1">
            <x v="6"/>
          </reference>
        </references>
      </pivotArea>
    </format>
    <format dxfId="1416">
      <pivotArea collapsedLevelsAreSubtotals="1" fieldPosition="0">
        <references count="1">
          <reference field="2" count="1">
            <x v="6"/>
          </reference>
        </references>
      </pivotArea>
    </format>
    <format dxfId="1417">
      <pivotArea collapsedLevelsAreSubtotals="1" fieldPosition="0">
        <references count="1">
          <reference field="2" count="1">
            <x v="6"/>
          </reference>
        </references>
      </pivotArea>
    </format>
    <format dxfId="1418">
      <pivotArea dataOnly="0" labelOnly="1" fieldPosition="0">
        <references count="1">
          <reference field="2" count="1">
            <x v="6"/>
          </reference>
        </references>
      </pivotArea>
    </format>
    <format dxfId="1419">
      <pivotArea dataOnly="0" labelOnly="1" fieldPosition="0">
        <references count="1">
          <reference field="2" count="1">
            <x v="23"/>
          </reference>
        </references>
      </pivotArea>
    </format>
    <format dxfId="1420">
      <pivotArea dataOnly="0" labelOnly="1" fieldPosition="0">
        <references count="1">
          <reference field="2" count="1">
            <x v="23"/>
          </reference>
        </references>
      </pivotArea>
    </format>
    <format dxfId="1421">
      <pivotArea dataOnly="0" labelOnly="1" fieldPosition="0">
        <references count="1">
          <reference field="2" count="1">
            <x v="23"/>
          </reference>
        </references>
      </pivotArea>
    </format>
    <format dxfId="1422">
      <pivotArea dataOnly="0" labelOnly="1" fieldPosition="0">
        <references count="1">
          <reference field="2" count="1">
            <x v="23"/>
          </reference>
        </references>
      </pivotArea>
    </format>
    <format dxfId="1423">
      <pivotArea dataOnly="0" labelOnly="1" fieldPosition="0">
        <references count="1">
          <reference field="2" count="1">
            <x v="23"/>
          </reference>
        </references>
      </pivotArea>
    </format>
    <format dxfId="1424">
      <pivotArea dataOnly="0" labelOnly="1" fieldPosition="0">
        <references count="1">
          <reference field="2" count="1">
            <x v="23"/>
          </reference>
        </references>
      </pivotArea>
    </format>
    <format dxfId="1425">
      <pivotArea collapsedLevelsAreSubtotals="1" fieldPosition="0">
        <references count="1">
          <reference field="2" count="1">
            <x v="23"/>
          </reference>
        </references>
      </pivotArea>
    </format>
    <format dxfId="1426">
      <pivotArea collapsedLevelsAreSubtotals="1" fieldPosition="0">
        <references count="1">
          <reference field="2" count="1">
            <x v="23"/>
          </reference>
        </references>
      </pivotArea>
    </format>
    <format dxfId="1427">
      <pivotArea collapsedLevelsAreSubtotals="1" fieldPosition="0">
        <references count="1">
          <reference field="2" count="1">
            <x v="23"/>
          </reference>
        </references>
      </pivotArea>
    </format>
    <format dxfId="1428">
      <pivotArea collapsedLevelsAreSubtotals="1" fieldPosition="0">
        <references count="1">
          <reference field="2" count="1">
            <x v="23"/>
          </reference>
        </references>
      </pivotArea>
    </format>
    <format dxfId="1429">
      <pivotArea collapsedLevelsAreSubtotals="1" fieldPosition="0">
        <references count="1">
          <reference field="2" count="1">
            <x v="23"/>
          </reference>
        </references>
      </pivotArea>
    </format>
    <format dxfId="1430">
      <pivotArea collapsedLevelsAreSubtotals="1" fieldPosition="0">
        <references count="1">
          <reference field="2" count="1">
            <x v="23"/>
          </reference>
        </references>
      </pivotArea>
    </format>
    <format dxfId="1431">
      <pivotArea dataOnly="0" labelOnly="1" fieldPosition="0">
        <references count="1">
          <reference field="2" count="1">
            <x v="23"/>
          </reference>
        </references>
      </pivotArea>
    </format>
    <format dxfId="1432">
      <pivotArea dataOnly="0" labelOnly="1" fieldPosition="0">
        <references count="1">
          <reference field="2" count="1">
            <x v="8"/>
          </reference>
        </references>
      </pivotArea>
    </format>
    <format dxfId="1433">
      <pivotArea dataOnly="0" labelOnly="1" fieldPosition="0">
        <references count="1">
          <reference field="2" count="1">
            <x v="8"/>
          </reference>
        </references>
      </pivotArea>
    </format>
    <format dxfId="1434">
      <pivotArea dataOnly="0" labelOnly="1" fieldPosition="0">
        <references count="1">
          <reference field="2" count="1">
            <x v="8"/>
          </reference>
        </references>
      </pivotArea>
    </format>
    <format dxfId="1435">
      <pivotArea dataOnly="0" labelOnly="1" fieldPosition="0">
        <references count="1">
          <reference field="2" count="1">
            <x v="8"/>
          </reference>
        </references>
      </pivotArea>
    </format>
    <format dxfId="1436">
      <pivotArea dataOnly="0" labelOnly="1" fieldPosition="0">
        <references count="1">
          <reference field="2" count="1">
            <x v="8"/>
          </reference>
        </references>
      </pivotArea>
    </format>
    <format dxfId="1437">
      <pivotArea dataOnly="0" labelOnly="1" fieldPosition="0">
        <references count="1">
          <reference field="2" count="1">
            <x v="8"/>
          </reference>
        </references>
      </pivotArea>
    </format>
    <format dxfId="1438">
      <pivotArea collapsedLevelsAreSubtotals="1" fieldPosition="0">
        <references count="1">
          <reference field="2" count="1">
            <x v="8"/>
          </reference>
        </references>
      </pivotArea>
    </format>
    <format dxfId="1439">
      <pivotArea collapsedLevelsAreSubtotals="1" fieldPosition="0">
        <references count="1">
          <reference field="2" count="1">
            <x v="8"/>
          </reference>
        </references>
      </pivotArea>
    </format>
    <format dxfId="1440">
      <pivotArea collapsedLevelsAreSubtotals="1" fieldPosition="0">
        <references count="1">
          <reference field="2" count="1">
            <x v="8"/>
          </reference>
        </references>
      </pivotArea>
    </format>
    <format dxfId="1441">
      <pivotArea collapsedLevelsAreSubtotals="1" fieldPosition="0">
        <references count="1">
          <reference field="2" count="1">
            <x v="8"/>
          </reference>
        </references>
      </pivotArea>
    </format>
    <format dxfId="1442">
      <pivotArea collapsedLevelsAreSubtotals="1" fieldPosition="0">
        <references count="1">
          <reference field="2" count="1">
            <x v="8"/>
          </reference>
        </references>
      </pivotArea>
    </format>
    <format dxfId="1443">
      <pivotArea collapsedLevelsAreSubtotals="1" fieldPosition="0">
        <references count="1">
          <reference field="2" count="1">
            <x v="8"/>
          </reference>
        </references>
      </pivotArea>
    </format>
    <format dxfId="1444">
      <pivotArea dataOnly="0" labelOnly="1" fieldPosition="0">
        <references count="1">
          <reference field="2" count="1">
            <x v="8"/>
          </reference>
        </references>
      </pivotArea>
    </format>
    <format dxfId="1445">
      <pivotArea dataOnly="0" labelOnly="1" fieldPosition="0">
        <references count="1">
          <reference field="2" count="1">
            <x v="5"/>
          </reference>
        </references>
      </pivotArea>
    </format>
    <format dxfId="1446">
      <pivotArea dataOnly="0" labelOnly="1" fieldPosition="0">
        <references count="1">
          <reference field="2" count="1">
            <x v="5"/>
          </reference>
        </references>
      </pivotArea>
    </format>
    <format dxfId="1447">
      <pivotArea dataOnly="0" labelOnly="1" fieldPosition="0">
        <references count="1">
          <reference field="2" count="1">
            <x v="5"/>
          </reference>
        </references>
      </pivotArea>
    </format>
    <format dxfId="1448">
      <pivotArea dataOnly="0" labelOnly="1" fieldPosition="0">
        <references count="1">
          <reference field="2" count="1">
            <x v="5"/>
          </reference>
        </references>
      </pivotArea>
    </format>
    <format dxfId="1449">
      <pivotArea dataOnly="0" labelOnly="1" fieldPosition="0">
        <references count="1">
          <reference field="2" count="1">
            <x v="5"/>
          </reference>
        </references>
      </pivotArea>
    </format>
    <format dxfId="1450">
      <pivotArea dataOnly="0" labelOnly="1" fieldPosition="0">
        <references count="1">
          <reference field="2" count="1">
            <x v="5"/>
          </reference>
        </references>
      </pivotArea>
    </format>
    <format dxfId="1451">
      <pivotArea collapsedLevelsAreSubtotals="1" fieldPosition="0">
        <references count="1">
          <reference field="2" count="1">
            <x v="5"/>
          </reference>
        </references>
      </pivotArea>
    </format>
    <format dxfId="1452">
      <pivotArea collapsedLevelsAreSubtotals="1" fieldPosition="0">
        <references count="1">
          <reference field="2" count="1">
            <x v="5"/>
          </reference>
        </references>
      </pivotArea>
    </format>
    <format dxfId="1453">
      <pivotArea collapsedLevelsAreSubtotals="1" fieldPosition="0">
        <references count="1">
          <reference field="2" count="1">
            <x v="5"/>
          </reference>
        </references>
      </pivotArea>
    </format>
    <format dxfId="1454">
      <pivotArea collapsedLevelsAreSubtotals="1" fieldPosition="0">
        <references count="1">
          <reference field="2" count="1">
            <x v="5"/>
          </reference>
        </references>
      </pivotArea>
    </format>
    <format dxfId="1455">
      <pivotArea collapsedLevelsAreSubtotals="1" fieldPosition="0">
        <references count="1">
          <reference field="2" count="1">
            <x v="5"/>
          </reference>
        </references>
      </pivotArea>
    </format>
    <format dxfId="1456">
      <pivotArea collapsedLevelsAreSubtotals="1" fieldPosition="0">
        <references count="1">
          <reference field="2" count="1">
            <x v="5"/>
          </reference>
        </references>
      </pivotArea>
    </format>
    <format dxfId="1457">
      <pivotArea dataOnly="0" labelOnly="1" fieldPosition="0">
        <references count="1">
          <reference field="2" count="1">
            <x v="5"/>
          </reference>
        </references>
      </pivotArea>
    </format>
    <format dxfId="1458">
      <pivotArea dataOnly="0" labelOnly="1" fieldPosition="0">
        <references count="1">
          <reference field="2" count="1">
            <x v="16"/>
          </reference>
        </references>
      </pivotArea>
    </format>
    <format dxfId="1459">
      <pivotArea dataOnly="0" labelOnly="1" fieldPosition="0">
        <references count="1">
          <reference field="2" count="1">
            <x v="16"/>
          </reference>
        </references>
      </pivotArea>
    </format>
    <format dxfId="1460">
      <pivotArea dataOnly="0" labelOnly="1" fieldPosition="0">
        <references count="1">
          <reference field="2" count="1">
            <x v="16"/>
          </reference>
        </references>
      </pivotArea>
    </format>
    <format dxfId="1461">
      <pivotArea dataOnly="0" labelOnly="1" fieldPosition="0">
        <references count="1">
          <reference field="2" count="1">
            <x v="16"/>
          </reference>
        </references>
      </pivotArea>
    </format>
    <format dxfId="1462">
      <pivotArea dataOnly="0" labelOnly="1" fieldPosition="0">
        <references count="1">
          <reference field="2" count="1">
            <x v="16"/>
          </reference>
        </references>
      </pivotArea>
    </format>
    <format dxfId="1463">
      <pivotArea dataOnly="0" labelOnly="1" fieldPosition="0">
        <references count="1">
          <reference field="2" count="1">
            <x v="16"/>
          </reference>
        </references>
      </pivotArea>
    </format>
    <format dxfId="1464">
      <pivotArea collapsedLevelsAreSubtotals="1" fieldPosition="0">
        <references count="1">
          <reference field="2" count="1">
            <x v="16"/>
          </reference>
        </references>
      </pivotArea>
    </format>
    <format dxfId="1465">
      <pivotArea collapsedLevelsAreSubtotals="1" fieldPosition="0">
        <references count="1">
          <reference field="2" count="1">
            <x v="16"/>
          </reference>
        </references>
      </pivotArea>
    </format>
    <format dxfId="1466">
      <pivotArea collapsedLevelsAreSubtotals="1" fieldPosition="0">
        <references count="1">
          <reference field="2" count="1">
            <x v="16"/>
          </reference>
        </references>
      </pivotArea>
    </format>
    <format dxfId="1467">
      <pivotArea collapsedLevelsAreSubtotals="1" fieldPosition="0">
        <references count="1">
          <reference field="2" count="1">
            <x v="16"/>
          </reference>
        </references>
      </pivotArea>
    </format>
    <format dxfId="1468">
      <pivotArea collapsedLevelsAreSubtotals="1" fieldPosition="0">
        <references count="1">
          <reference field="2" count="1">
            <x v="16"/>
          </reference>
        </references>
      </pivotArea>
    </format>
    <format dxfId="1469">
      <pivotArea collapsedLevelsAreSubtotals="1" fieldPosition="0">
        <references count="1">
          <reference field="2" count="1">
            <x v="16"/>
          </reference>
        </references>
      </pivotArea>
    </format>
    <format dxfId="1470">
      <pivotArea dataOnly="0" labelOnly="1" fieldPosition="0">
        <references count="1">
          <reference field="2" count="1">
            <x v="16"/>
          </reference>
        </references>
      </pivotArea>
    </format>
    <format dxfId="1471">
      <pivotArea dataOnly="0" labelOnly="1" fieldPosition="0">
        <references count="1">
          <reference field="2" count="1">
            <x v="17"/>
          </reference>
        </references>
      </pivotArea>
    </format>
    <format dxfId="1472">
      <pivotArea dataOnly="0" labelOnly="1" fieldPosition="0">
        <references count="1">
          <reference field="2" count="1">
            <x v="17"/>
          </reference>
        </references>
      </pivotArea>
    </format>
    <format dxfId="1473">
      <pivotArea dataOnly="0" labelOnly="1" fieldPosition="0">
        <references count="1">
          <reference field="2" count="1">
            <x v="17"/>
          </reference>
        </references>
      </pivotArea>
    </format>
    <format dxfId="1474">
      <pivotArea dataOnly="0" labelOnly="1" fieldPosition="0">
        <references count="1">
          <reference field="2" count="1">
            <x v="17"/>
          </reference>
        </references>
      </pivotArea>
    </format>
    <format dxfId="1475">
      <pivotArea dataOnly="0" labelOnly="1" fieldPosition="0">
        <references count="1">
          <reference field="2" count="1">
            <x v="17"/>
          </reference>
        </references>
      </pivotArea>
    </format>
    <format dxfId="1476">
      <pivotArea dataOnly="0" labelOnly="1" fieldPosition="0">
        <references count="1">
          <reference field="2" count="1">
            <x v="17"/>
          </reference>
        </references>
      </pivotArea>
    </format>
    <format dxfId="1477">
      <pivotArea collapsedLevelsAreSubtotals="1" fieldPosition="0">
        <references count="1">
          <reference field="2" count="1">
            <x v="17"/>
          </reference>
        </references>
      </pivotArea>
    </format>
    <format dxfId="1478">
      <pivotArea collapsedLevelsAreSubtotals="1" fieldPosition="0">
        <references count="1">
          <reference field="2" count="1">
            <x v="17"/>
          </reference>
        </references>
      </pivotArea>
    </format>
    <format dxfId="1479">
      <pivotArea collapsedLevelsAreSubtotals="1" fieldPosition="0">
        <references count="1">
          <reference field="2" count="1">
            <x v="17"/>
          </reference>
        </references>
      </pivotArea>
    </format>
    <format dxfId="1480">
      <pivotArea collapsedLevelsAreSubtotals="1" fieldPosition="0">
        <references count="1">
          <reference field="2" count="1">
            <x v="17"/>
          </reference>
        </references>
      </pivotArea>
    </format>
    <format dxfId="1481">
      <pivotArea collapsedLevelsAreSubtotals="1" fieldPosition="0">
        <references count="1">
          <reference field="2" count="1">
            <x v="17"/>
          </reference>
        </references>
      </pivotArea>
    </format>
    <format dxfId="1482">
      <pivotArea collapsedLevelsAreSubtotals="1" fieldPosition="0">
        <references count="1">
          <reference field="2" count="1">
            <x v="17"/>
          </reference>
        </references>
      </pivotArea>
    </format>
    <format dxfId="1483">
      <pivotArea dataOnly="0" labelOnly="1" fieldPosition="0">
        <references count="1">
          <reference field="2" count="1">
            <x v="17"/>
          </reference>
        </references>
      </pivotArea>
    </format>
    <format dxfId="1484">
      <pivotArea dataOnly="0" labelOnly="1" fieldPosition="0">
        <references count="1">
          <reference field="2" count="1">
            <x v="12"/>
          </reference>
        </references>
      </pivotArea>
    </format>
    <format dxfId="1485">
      <pivotArea dataOnly="0" labelOnly="1" fieldPosition="0">
        <references count="1">
          <reference field="2" count="1">
            <x v="12"/>
          </reference>
        </references>
      </pivotArea>
    </format>
    <format dxfId="1486">
      <pivotArea dataOnly="0" labelOnly="1" fieldPosition="0">
        <references count="1">
          <reference field="2" count="1">
            <x v="12"/>
          </reference>
        </references>
      </pivotArea>
    </format>
    <format dxfId="1487">
      <pivotArea dataOnly="0" labelOnly="1" fieldPosition="0">
        <references count="1">
          <reference field="2" count="1">
            <x v="12"/>
          </reference>
        </references>
      </pivotArea>
    </format>
    <format dxfId="1488">
      <pivotArea dataOnly="0" labelOnly="1" fieldPosition="0">
        <references count="1">
          <reference field="2" count="1">
            <x v="12"/>
          </reference>
        </references>
      </pivotArea>
    </format>
    <format dxfId="1489">
      <pivotArea dataOnly="0" labelOnly="1" fieldPosition="0">
        <references count="1">
          <reference field="2" count="1">
            <x v="12"/>
          </reference>
        </references>
      </pivotArea>
    </format>
    <format dxfId="1490">
      <pivotArea collapsedLevelsAreSubtotals="1" fieldPosition="0">
        <references count="1">
          <reference field="2" count="1">
            <x v="12"/>
          </reference>
        </references>
      </pivotArea>
    </format>
    <format dxfId="1491">
      <pivotArea collapsedLevelsAreSubtotals="1" fieldPosition="0">
        <references count="1">
          <reference field="2" count="1">
            <x v="12"/>
          </reference>
        </references>
      </pivotArea>
    </format>
    <format dxfId="1492">
      <pivotArea collapsedLevelsAreSubtotals="1" fieldPosition="0">
        <references count="1">
          <reference field="2" count="1">
            <x v="12"/>
          </reference>
        </references>
      </pivotArea>
    </format>
    <format dxfId="1493">
      <pivotArea collapsedLevelsAreSubtotals="1" fieldPosition="0">
        <references count="1">
          <reference field="2" count="1">
            <x v="12"/>
          </reference>
        </references>
      </pivotArea>
    </format>
    <format dxfId="1494">
      <pivotArea collapsedLevelsAreSubtotals="1" fieldPosition="0">
        <references count="1">
          <reference field="2" count="1">
            <x v="12"/>
          </reference>
        </references>
      </pivotArea>
    </format>
    <format dxfId="1495">
      <pivotArea collapsedLevelsAreSubtotals="1" fieldPosition="0">
        <references count="1">
          <reference field="2" count="1">
            <x v="12"/>
          </reference>
        </references>
      </pivotArea>
    </format>
    <format dxfId="1496">
      <pivotArea dataOnly="0" labelOnly="1" fieldPosition="0">
        <references count="1">
          <reference field="2" count="1">
            <x v="12"/>
          </reference>
        </references>
      </pivotArea>
    </format>
    <format dxfId="1497">
      <pivotArea dataOnly="0" labelOnly="1" fieldPosition="0">
        <references count="1">
          <reference field="2" count="1">
            <x v="13"/>
          </reference>
        </references>
      </pivotArea>
    </format>
    <format dxfId="1498">
      <pivotArea dataOnly="0" labelOnly="1" fieldPosition="0">
        <references count="1">
          <reference field="2" count="1">
            <x v="13"/>
          </reference>
        </references>
      </pivotArea>
    </format>
    <format dxfId="1499">
      <pivotArea dataOnly="0" labelOnly="1" fieldPosition="0">
        <references count="1">
          <reference field="2" count="1">
            <x v="13"/>
          </reference>
        </references>
      </pivotArea>
    </format>
    <format dxfId="1500">
      <pivotArea dataOnly="0" labelOnly="1" fieldPosition="0">
        <references count="1">
          <reference field="2" count="1">
            <x v="13"/>
          </reference>
        </references>
      </pivotArea>
    </format>
    <format dxfId="1501">
      <pivotArea dataOnly="0" labelOnly="1" fieldPosition="0">
        <references count="1">
          <reference field="2" count="1">
            <x v="13"/>
          </reference>
        </references>
      </pivotArea>
    </format>
    <format dxfId="1502">
      <pivotArea dataOnly="0" labelOnly="1" fieldPosition="0">
        <references count="1">
          <reference field="2" count="1">
            <x v="13"/>
          </reference>
        </references>
      </pivotArea>
    </format>
    <format dxfId="1503">
      <pivotArea collapsedLevelsAreSubtotals="1" fieldPosition="0">
        <references count="1">
          <reference field="2" count="1">
            <x v="13"/>
          </reference>
        </references>
      </pivotArea>
    </format>
    <format dxfId="1504">
      <pivotArea collapsedLevelsAreSubtotals="1" fieldPosition="0">
        <references count="1">
          <reference field="2" count="1">
            <x v="13"/>
          </reference>
        </references>
      </pivotArea>
    </format>
    <format dxfId="1505">
      <pivotArea collapsedLevelsAreSubtotals="1" fieldPosition="0">
        <references count="1">
          <reference field="2" count="1">
            <x v="13"/>
          </reference>
        </references>
      </pivotArea>
    </format>
    <format dxfId="1506">
      <pivotArea collapsedLevelsAreSubtotals="1" fieldPosition="0">
        <references count="1">
          <reference field="2" count="1">
            <x v="13"/>
          </reference>
        </references>
      </pivotArea>
    </format>
    <format dxfId="1507">
      <pivotArea collapsedLevelsAreSubtotals="1" fieldPosition="0">
        <references count="1">
          <reference field="2" count="1">
            <x v="13"/>
          </reference>
        </references>
      </pivotArea>
    </format>
    <format dxfId="1508">
      <pivotArea collapsedLevelsAreSubtotals="1" fieldPosition="0">
        <references count="1">
          <reference field="2" count="1">
            <x v="13"/>
          </reference>
        </references>
      </pivotArea>
    </format>
    <format dxfId="1509">
      <pivotArea dataOnly="0" labelOnly="1" fieldPosition="0">
        <references count="1">
          <reference field="2" count="1">
            <x v="13"/>
          </reference>
        </references>
      </pivotArea>
    </format>
    <format dxfId="1510">
      <pivotArea dataOnly="0" labelOnly="1" fieldPosition="0">
        <references count="1">
          <reference field="2" count="1">
            <x v="10"/>
          </reference>
        </references>
      </pivotArea>
    </format>
    <format dxfId="1511">
      <pivotArea dataOnly="0" labelOnly="1" fieldPosition="0">
        <references count="1">
          <reference field="2" count="1">
            <x v="10"/>
          </reference>
        </references>
      </pivotArea>
    </format>
    <format dxfId="1512">
      <pivotArea dataOnly="0" labelOnly="1" fieldPosition="0">
        <references count="1">
          <reference field="2" count="1">
            <x v="10"/>
          </reference>
        </references>
      </pivotArea>
    </format>
    <format dxfId="1513">
      <pivotArea dataOnly="0" labelOnly="1" fieldPosition="0">
        <references count="1">
          <reference field="2" count="1">
            <x v="10"/>
          </reference>
        </references>
      </pivotArea>
    </format>
    <format dxfId="1514">
      <pivotArea dataOnly="0" labelOnly="1" fieldPosition="0">
        <references count="1">
          <reference field="2" count="1">
            <x v="10"/>
          </reference>
        </references>
      </pivotArea>
    </format>
    <format dxfId="1515">
      <pivotArea dataOnly="0" labelOnly="1" fieldPosition="0">
        <references count="1">
          <reference field="2" count="1">
            <x v="10"/>
          </reference>
        </references>
      </pivotArea>
    </format>
    <format dxfId="1516">
      <pivotArea collapsedLevelsAreSubtotals="1" fieldPosition="0">
        <references count="1">
          <reference field="2" count="1">
            <x v="10"/>
          </reference>
        </references>
      </pivotArea>
    </format>
    <format dxfId="1517">
      <pivotArea collapsedLevelsAreSubtotals="1" fieldPosition="0">
        <references count="1">
          <reference field="2" count="1">
            <x v="10"/>
          </reference>
        </references>
      </pivotArea>
    </format>
    <format dxfId="1518">
      <pivotArea collapsedLevelsAreSubtotals="1" fieldPosition="0">
        <references count="1">
          <reference field="2" count="1">
            <x v="10"/>
          </reference>
        </references>
      </pivotArea>
    </format>
    <format dxfId="1519">
      <pivotArea collapsedLevelsAreSubtotals="1" fieldPosition="0">
        <references count="1">
          <reference field="2" count="1">
            <x v="10"/>
          </reference>
        </references>
      </pivotArea>
    </format>
    <format dxfId="1520">
      <pivotArea collapsedLevelsAreSubtotals="1" fieldPosition="0">
        <references count="1">
          <reference field="2" count="1">
            <x v="10"/>
          </reference>
        </references>
      </pivotArea>
    </format>
    <format dxfId="1521">
      <pivotArea collapsedLevelsAreSubtotals="1" fieldPosition="0">
        <references count="1">
          <reference field="2" count="1">
            <x v="10"/>
          </reference>
        </references>
      </pivotArea>
    </format>
    <format dxfId="1522">
      <pivotArea dataOnly="0" labelOnly="1" fieldPosition="0">
        <references count="1">
          <reference field="2" count="1">
            <x v="10"/>
          </reference>
        </references>
      </pivotArea>
    </format>
    <format dxfId="1523">
      <pivotArea dataOnly="0" labelOnly="1" fieldPosition="0">
        <references count="1">
          <reference field="2" count="1">
            <x v="3"/>
          </reference>
        </references>
      </pivotArea>
    </format>
    <format dxfId="1524">
      <pivotArea dataOnly="0" labelOnly="1" fieldPosition="0">
        <references count="1">
          <reference field="2" count="1">
            <x v="3"/>
          </reference>
        </references>
      </pivotArea>
    </format>
    <format dxfId="1525">
      <pivotArea dataOnly="0" labelOnly="1" fieldPosition="0">
        <references count="1">
          <reference field="2" count="1">
            <x v="3"/>
          </reference>
        </references>
      </pivotArea>
    </format>
    <format dxfId="1526">
      <pivotArea dataOnly="0" labelOnly="1" fieldPosition="0">
        <references count="1">
          <reference field="2" count="1">
            <x v="3"/>
          </reference>
        </references>
      </pivotArea>
    </format>
    <format dxfId="1527">
      <pivotArea dataOnly="0" labelOnly="1" fieldPosition="0">
        <references count="1">
          <reference field="2" count="1">
            <x v="3"/>
          </reference>
        </references>
      </pivotArea>
    </format>
    <format dxfId="1528">
      <pivotArea dataOnly="0" labelOnly="1" fieldPosition="0">
        <references count="1">
          <reference field="2" count="1">
            <x v="3"/>
          </reference>
        </references>
      </pivotArea>
    </format>
    <format dxfId="1529">
      <pivotArea collapsedLevelsAreSubtotals="1" fieldPosition="0">
        <references count="1">
          <reference field="2" count="1">
            <x v="3"/>
          </reference>
        </references>
      </pivotArea>
    </format>
    <format dxfId="1530">
      <pivotArea collapsedLevelsAreSubtotals="1" fieldPosition="0">
        <references count="1">
          <reference field="2" count="1">
            <x v="3"/>
          </reference>
        </references>
      </pivotArea>
    </format>
    <format dxfId="1531">
      <pivotArea collapsedLevelsAreSubtotals="1" fieldPosition="0">
        <references count="1">
          <reference field="2" count="1">
            <x v="3"/>
          </reference>
        </references>
      </pivotArea>
    </format>
    <format dxfId="1532">
      <pivotArea collapsedLevelsAreSubtotals="1" fieldPosition="0">
        <references count="1">
          <reference field="2" count="1">
            <x v="3"/>
          </reference>
        </references>
      </pivotArea>
    </format>
    <format dxfId="1533">
      <pivotArea collapsedLevelsAreSubtotals="1" fieldPosition="0">
        <references count="1">
          <reference field="2" count="1">
            <x v="3"/>
          </reference>
        </references>
      </pivotArea>
    </format>
    <format dxfId="1534">
      <pivotArea collapsedLevelsAreSubtotals="1" fieldPosition="0">
        <references count="1">
          <reference field="2" count="1">
            <x v="3"/>
          </reference>
        </references>
      </pivotArea>
    </format>
    <format dxfId="1535">
      <pivotArea dataOnly="0" labelOnly="1" fieldPosition="0">
        <references count="1">
          <reference field="2" count="1">
            <x v="3"/>
          </reference>
        </references>
      </pivotArea>
    </format>
    <format dxfId="1536">
      <pivotArea dataOnly="0" labelOnly="1" fieldPosition="0">
        <references count="1">
          <reference field="2" count="1">
            <x v="24"/>
          </reference>
        </references>
      </pivotArea>
    </format>
    <format dxfId="1537">
      <pivotArea dataOnly="0" labelOnly="1" fieldPosition="0">
        <references count="1">
          <reference field="2" count="1">
            <x v="24"/>
          </reference>
        </references>
      </pivotArea>
    </format>
    <format dxfId="1538">
      <pivotArea dataOnly="0" labelOnly="1" fieldPosition="0">
        <references count="1">
          <reference field="2" count="1">
            <x v="24"/>
          </reference>
        </references>
      </pivotArea>
    </format>
    <format dxfId="1539">
      <pivotArea dataOnly="0" labelOnly="1" fieldPosition="0">
        <references count="1">
          <reference field="2" count="1">
            <x v="24"/>
          </reference>
        </references>
      </pivotArea>
    </format>
    <format dxfId="1540">
      <pivotArea dataOnly="0" labelOnly="1" fieldPosition="0">
        <references count="1">
          <reference field="2" count="1">
            <x v="24"/>
          </reference>
        </references>
      </pivotArea>
    </format>
    <format dxfId="1541">
      <pivotArea dataOnly="0" labelOnly="1" fieldPosition="0">
        <references count="1">
          <reference field="2" count="1">
            <x v="24"/>
          </reference>
        </references>
      </pivotArea>
    </format>
    <format dxfId="1542">
      <pivotArea collapsedLevelsAreSubtotals="1" fieldPosition="0">
        <references count="1">
          <reference field="2" count="1">
            <x v="24"/>
          </reference>
        </references>
      </pivotArea>
    </format>
    <format dxfId="1543">
      <pivotArea collapsedLevelsAreSubtotals="1" fieldPosition="0">
        <references count="1">
          <reference field="2" count="1">
            <x v="24"/>
          </reference>
        </references>
      </pivotArea>
    </format>
    <format dxfId="1544">
      <pivotArea collapsedLevelsAreSubtotals="1" fieldPosition="0">
        <references count="1">
          <reference field="2" count="1">
            <x v="24"/>
          </reference>
        </references>
      </pivotArea>
    </format>
    <format dxfId="1545">
      <pivotArea collapsedLevelsAreSubtotals="1" fieldPosition="0">
        <references count="1">
          <reference field="2" count="1">
            <x v="24"/>
          </reference>
        </references>
      </pivotArea>
    </format>
    <format dxfId="1546">
      <pivotArea collapsedLevelsAreSubtotals="1" fieldPosition="0">
        <references count="1">
          <reference field="2" count="1">
            <x v="24"/>
          </reference>
        </references>
      </pivotArea>
    </format>
    <format dxfId="1547">
      <pivotArea collapsedLevelsAreSubtotals="1" fieldPosition="0">
        <references count="1">
          <reference field="2" count="1">
            <x v="24"/>
          </reference>
        </references>
      </pivotArea>
    </format>
    <format dxfId="1548">
      <pivotArea dataOnly="0" labelOnly="1" fieldPosition="0">
        <references count="1">
          <reference field="2" count="1">
            <x v="24"/>
          </reference>
        </references>
      </pivotArea>
    </format>
    <format dxfId="1549">
      <pivotArea dataOnly="0" labelOnly="1" fieldPosition="0">
        <references count="1">
          <reference field="2" count="1">
            <x v="21"/>
          </reference>
        </references>
      </pivotArea>
    </format>
    <format dxfId="1550">
      <pivotArea dataOnly="0" labelOnly="1" fieldPosition="0">
        <references count="1">
          <reference field="2" count="1">
            <x v="21"/>
          </reference>
        </references>
      </pivotArea>
    </format>
    <format dxfId="1551">
      <pivotArea dataOnly="0" labelOnly="1" fieldPosition="0">
        <references count="1">
          <reference field="2" count="1">
            <x v="21"/>
          </reference>
        </references>
      </pivotArea>
    </format>
    <format dxfId="1552">
      <pivotArea dataOnly="0" labelOnly="1" fieldPosition="0">
        <references count="1">
          <reference field="2" count="1">
            <x v="21"/>
          </reference>
        </references>
      </pivotArea>
    </format>
    <format dxfId="1553">
      <pivotArea dataOnly="0" labelOnly="1" fieldPosition="0">
        <references count="1">
          <reference field="2" count="1">
            <x v="21"/>
          </reference>
        </references>
      </pivotArea>
    </format>
    <format dxfId="1554">
      <pivotArea dataOnly="0" labelOnly="1" fieldPosition="0">
        <references count="1">
          <reference field="2" count="1">
            <x v="21"/>
          </reference>
        </references>
      </pivotArea>
    </format>
    <format dxfId="1555">
      <pivotArea collapsedLevelsAreSubtotals="1" fieldPosition="0">
        <references count="1">
          <reference field="2" count="1">
            <x v="21"/>
          </reference>
        </references>
      </pivotArea>
    </format>
    <format dxfId="1556">
      <pivotArea collapsedLevelsAreSubtotals="1" fieldPosition="0">
        <references count="1">
          <reference field="2" count="1">
            <x v="21"/>
          </reference>
        </references>
      </pivotArea>
    </format>
    <format dxfId="1557">
      <pivotArea collapsedLevelsAreSubtotals="1" fieldPosition="0">
        <references count="1">
          <reference field="2" count="1">
            <x v="21"/>
          </reference>
        </references>
      </pivotArea>
    </format>
    <format dxfId="1558">
      <pivotArea collapsedLevelsAreSubtotals="1" fieldPosition="0">
        <references count="1">
          <reference field="2" count="1">
            <x v="21"/>
          </reference>
        </references>
      </pivotArea>
    </format>
    <format dxfId="1559">
      <pivotArea collapsedLevelsAreSubtotals="1" fieldPosition="0">
        <references count="1">
          <reference field="2" count="1">
            <x v="21"/>
          </reference>
        </references>
      </pivotArea>
    </format>
    <format dxfId="1560">
      <pivotArea collapsedLevelsAreSubtotals="1" fieldPosition="0">
        <references count="1">
          <reference field="2" count="1">
            <x v="21"/>
          </reference>
        </references>
      </pivotArea>
    </format>
    <format dxfId="1561">
      <pivotArea dataOnly="0" labelOnly="1" fieldPosition="0">
        <references count="1">
          <reference field="2" count="1">
            <x v="21"/>
          </reference>
        </references>
      </pivotArea>
    </format>
    <format dxfId="1562">
      <pivotArea dataOnly="0" labelOnly="1" fieldPosition="0">
        <references count="1">
          <reference field="2" count="1">
            <x v="7"/>
          </reference>
        </references>
      </pivotArea>
    </format>
    <format dxfId="1563">
      <pivotArea dataOnly="0" labelOnly="1" fieldPosition="0">
        <references count="1">
          <reference field="2" count="1">
            <x v="7"/>
          </reference>
        </references>
      </pivotArea>
    </format>
    <format dxfId="1564">
      <pivotArea dataOnly="0" labelOnly="1" fieldPosition="0">
        <references count="1">
          <reference field="2" count="1">
            <x v="7"/>
          </reference>
        </references>
      </pivotArea>
    </format>
    <format dxfId="1565">
      <pivotArea dataOnly="0" labelOnly="1" fieldPosition="0">
        <references count="1">
          <reference field="2" count="1">
            <x v="7"/>
          </reference>
        </references>
      </pivotArea>
    </format>
    <format dxfId="1566">
      <pivotArea dataOnly="0" labelOnly="1" fieldPosition="0">
        <references count="1">
          <reference field="2" count="1">
            <x v="7"/>
          </reference>
        </references>
      </pivotArea>
    </format>
    <format dxfId="1567">
      <pivotArea dataOnly="0" labelOnly="1" fieldPosition="0">
        <references count="1">
          <reference field="2" count="1">
            <x v="7"/>
          </reference>
        </references>
      </pivotArea>
    </format>
    <format dxfId="1568">
      <pivotArea collapsedLevelsAreSubtotals="1" fieldPosition="0">
        <references count="1">
          <reference field="2" count="1">
            <x v="7"/>
          </reference>
        </references>
      </pivotArea>
    </format>
    <format dxfId="1569">
      <pivotArea collapsedLevelsAreSubtotals="1" fieldPosition="0">
        <references count="1">
          <reference field="2" count="1">
            <x v="7"/>
          </reference>
        </references>
      </pivotArea>
    </format>
    <format dxfId="1570">
      <pivotArea collapsedLevelsAreSubtotals="1" fieldPosition="0">
        <references count="1">
          <reference field="2" count="1">
            <x v="7"/>
          </reference>
        </references>
      </pivotArea>
    </format>
    <format dxfId="1571">
      <pivotArea collapsedLevelsAreSubtotals="1" fieldPosition="0">
        <references count="1">
          <reference field="2" count="1">
            <x v="7"/>
          </reference>
        </references>
      </pivotArea>
    </format>
    <format dxfId="1572">
      <pivotArea collapsedLevelsAreSubtotals="1" fieldPosition="0">
        <references count="1">
          <reference field="2" count="1">
            <x v="7"/>
          </reference>
        </references>
      </pivotArea>
    </format>
    <format dxfId="1573">
      <pivotArea collapsedLevelsAreSubtotals="1" fieldPosition="0">
        <references count="1">
          <reference field="2" count="1">
            <x v="7"/>
          </reference>
        </references>
      </pivotArea>
    </format>
    <format dxfId="1574">
      <pivotArea dataOnly="0" labelOnly="1" fieldPosition="0">
        <references count="1">
          <reference field="2" count="1">
            <x v="7"/>
          </reference>
        </references>
      </pivotArea>
    </format>
    <format dxfId="1575">
      <pivotArea dataOnly="0" labelOnly="1" fieldPosition="0">
        <references count="1">
          <reference field="2" count="1">
            <x v="11"/>
          </reference>
        </references>
      </pivotArea>
    </format>
    <format dxfId="1576">
      <pivotArea dataOnly="0" labelOnly="1" fieldPosition="0">
        <references count="1">
          <reference field="2" count="1">
            <x v="11"/>
          </reference>
        </references>
      </pivotArea>
    </format>
    <format dxfId="1577">
      <pivotArea dataOnly="0" labelOnly="1" fieldPosition="0">
        <references count="1">
          <reference field="2" count="1">
            <x v="11"/>
          </reference>
        </references>
      </pivotArea>
    </format>
    <format dxfId="1578">
      <pivotArea dataOnly="0" labelOnly="1" fieldPosition="0">
        <references count="1">
          <reference field="2" count="1">
            <x v="11"/>
          </reference>
        </references>
      </pivotArea>
    </format>
    <format dxfId="1579">
      <pivotArea dataOnly="0" labelOnly="1" fieldPosition="0">
        <references count="1">
          <reference field="2" count="1">
            <x v="11"/>
          </reference>
        </references>
      </pivotArea>
    </format>
    <format dxfId="1580">
      <pivotArea dataOnly="0" labelOnly="1" fieldPosition="0">
        <references count="1">
          <reference field="2" count="1">
            <x v="11"/>
          </reference>
        </references>
      </pivotArea>
    </format>
    <format dxfId="1581">
      <pivotArea collapsedLevelsAreSubtotals="1" fieldPosition="0">
        <references count="1">
          <reference field="2" count="1">
            <x v="11"/>
          </reference>
        </references>
      </pivotArea>
    </format>
    <format dxfId="1582">
      <pivotArea collapsedLevelsAreSubtotals="1" fieldPosition="0">
        <references count="1">
          <reference field="2" count="1">
            <x v="11"/>
          </reference>
        </references>
      </pivotArea>
    </format>
    <format dxfId="1583">
      <pivotArea collapsedLevelsAreSubtotals="1" fieldPosition="0">
        <references count="1">
          <reference field="2" count="1">
            <x v="11"/>
          </reference>
        </references>
      </pivotArea>
    </format>
    <format dxfId="1584">
      <pivotArea collapsedLevelsAreSubtotals="1" fieldPosition="0">
        <references count="1">
          <reference field="2" count="1">
            <x v="11"/>
          </reference>
        </references>
      </pivotArea>
    </format>
    <format dxfId="1585">
      <pivotArea collapsedLevelsAreSubtotals="1" fieldPosition="0">
        <references count="1">
          <reference field="2" count="1">
            <x v="11"/>
          </reference>
        </references>
      </pivotArea>
    </format>
    <format dxfId="1586">
      <pivotArea collapsedLevelsAreSubtotals="1" fieldPosition="0">
        <references count="1">
          <reference field="2" count="1">
            <x v="11"/>
          </reference>
        </references>
      </pivotArea>
    </format>
    <format dxfId="1587">
      <pivotArea dataOnly="0" labelOnly="1" fieldPosition="0">
        <references count="1">
          <reference field="2" count="1">
            <x v="11"/>
          </reference>
        </references>
      </pivotArea>
    </format>
    <format dxfId="1588">
      <pivotArea grandRow="1" outline="0" collapsedLevelsAreSubtotals="1" fieldPosition="0"/>
    </format>
    <format dxfId="1589">
      <pivotArea dataOnly="0" labelOnly="1" grandRow="1" outline="0" fieldPosition="0"/>
    </format>
    <format dxfId="1590">
      <pivotArea grandRow="1" outline="0" collapsedLevelsAreSubtotals="1" fieldPosition="0"/>
    </format>
    <format dxfId="1591">
      <pivotArea dataOnly="0" labelOnly="1" grandRow="1" outline="0" fieldPosition="0"/>
    </format>
    <format dxfId="1592">
      <pivotArea grandRow="1" outline="0" collapsedLevelsAreSubtotals="1" fieldPosition="0"/>
    </format>
    <format dxfId="1593">
      <pivotArea dataOnly="0" labelOnly="1" grandRow="1" outline="0" fieldPosition="0"/>
    </format>
    <format dxfId="1594">
      <pivotArea grandRow="1" outline="0" collapsedLevelsAreSubtotals="1" fieldPosition="0"/>
    </format>
    <format dxfId="1595">
      <pivotArea dataOnly="0" labelOnly="1" grandRow="1" outline="0" fieldPosition="0"/>
    </format>
    <format dxfId="1596">
      <pivotArea grandRow="1" outline="0" collapsedLevelsAreSubtotals="1" fieldPosition="0"/>
    </format>
    <format dxfId="1597">
      <pivotArea dataOnly="0" labelOnly="1" grandRow="1" outline="0" fieldPosition="0"/>
    </format>
    <format dxfId="1598">
      <pivotArea dataOnly="0" labelOnly="1" grandRow="1" outline="0" fieldPosition="0"/>
    </format>
    <format dxfId="1599">
      <pivotArea grandRow="1" outline="0" collapsedLevelsAreSubtotals="1" fieldPosition="0"/>
    </format>
    <format dxfId="1600">
      <pivotArea type="all" dataOnly="0" outline="0" fieldPosition="0"/>
    </format>
    <format dxfId="1601">
      <pivotArea outline="0" collapsedLevelsAreSubtotals="1" fieldPosition="0"/>
    </format>
    <format dxfId="1602">
      <pivotArea dataOnly="0" labelOnly="1" fieldPosition="0">
        <references count="1">
          <reference field="2" count="0"/>
        </references>
      </pivotArea>
    </format>
    <format dxfId="1603">
      <pivotArea field="2" type="button" dataOnly="0" labelOnly="1" outline="0" axis="axisRow" fieldPosition="0"/>
    </format>
    <format dxfId="1604">
      <pivotArea dataOnly="0" labelOnly="1" outline="0" axis="axisValues" fieldPosition="0"/>
    </format>
    <format dxfId="1605">
      <pivotArea grandRow="1" outline="0" collapsedLevelsAreSubtotals="1" fieldPosition="0"/>
    </format>
    <format dxfId="1606">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5BDCCE-DC81-4018-AD38-DAA88F1BED6A}" name="Kontingenční tabulka3" cacheId="3503" applyNumberFormats="0" applyBorderFormats="0" applyFontFormats="0" applyPatternFormats="0" applyAlignmentFormats="0" applyWidthHeightFormats="1" dataCaption="Hodnoty" updatedVersion="8" minRefreshableVersion="3" useAutoFormatting="1" itemPrintTitles="1" createdVersion="8" indent="0" outline="1" outlineData="1" multipleFieldFilters="0" chartFormat="1" rowHeaderCaption="Vac by consultant">
  <location ref="A63:B71"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0">
        <item x="1"/>
        <item x="5"/>
        <item x="7"/>
        <item x="3"/>
        <item x="4"/>
        <item x="6"/>
        <item h="1" x="0"/>
        <item x="2"/>
        <item h="1" m="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11"/>
  </rowFields>
  <rowItems count="8">
    <i>
      <x v="1"/>
    </i>
    <i>
      <x v="5"/>
    </i>
    <i>
      <x/>
    </i>
    <i>
      <x v="4"/>
    </i>
    <i>
      <x v="7"/>
    </i>
    <i>
      <x v="2"/>
    </i>
    <i>
      <x v="3"/>
    </i>
    <i t="grand">
      <x/>
    </i>
  </rowItems>
  <colItems count="1">
    <i/>
  </colItems>
  <dataFields count="1">
    <dataField name="Vacancies" fld="16" baseField="10" baseItem="0"/>
  </dataFields>
  <formats count="129">
    <format dxfId="1130">
      <pivotArea type="all" dataOnly="0" outline="0" fieldPosition="0"/>
    </format>
    <format dxfId="1131">
      <pivotArea field="11" type="button" dataOnly="0" labelOnly="1" outline="0" axis="axisRow" fieldPosition="0"/>
    </format>
    <format dxfId="1132">
      <pivotArea dataOnly="0" labelOnly="1" fieldPosition="0">
        <references count="1">
          <reference field="11" count="0"/>
        </references>
      </pivotArea>
    </format>
    <format dxfId="1133">
      <pivotArea dataOnly="0" labelOnly="1" grandRow="1" outline="0" fieldPosition="0"/>
    </format>
    <format dxfId="1134">
      <pivotArea dataOnly="0" labelOnly="1" outline="0" axis="axisValues" fieldPosition="0"/>
    </format>
    <format dxfId="1135">
      <pivotArea field="11" type="button" dataOnly="0" labelOnly="1" outline="0" axis="axisRow" fieldPosition="0"/>
    </format>
    <format dxfId="1136">
      <pivotArea dataOnly="0" labelOnly="1" outline="0" axis="axisValues" fieldPosition="0"/>
    </format>
    <format dxfId="1137">
      <pivotArea field="11" type="button" dataOnly="0" labelOnly="1" outline="0" axis="axisRow" fieldPosition="0"/>
    </format>
    <format dxfId="1138">
      <pivotArea dataOnly="0" labelOnly="1" outline="0" axis="axisValues" fieldPosition="0"/>
    </format>
    <format dxfId="1139">
      <pivotArea field="11" type="button" dataOnly="0" labelOnly="1" outline="0" axis="axisRow" fieldPosition="0"/>
    </format>
    <format dxfId="1140">
      <pivotArea dataOnly="0" labelOnly="1" outline="0" axis="axisValues" fieldPosition="0"/>
    </format>
    <format dxfId="1141">
      <pivotArea field="11" type="button" dataOnly="0" labelOnly="1" outline="0" axis="axisRow" fieldPosition="0"/>
    </format>
    <format dxfId="1142">
      <pivotArea dataOnly="0" labelOnly="1" outline="0" axis="axisValues" fieldPosition="0"/>
    </format>
    <format dxfId="1143">
      <pivotArea field="11" type="button" dataOnly="0" labelOnly="1" outline="0" axis="axisRow" fieldPosition="0"/>
    </format>
    <format dxfId="1144">
      <pivotArea dataOnly="0" labelOnly="1" outline="0" axis="axisValues" fieldPosition="0"/>
    </format>
    <format dxfId="1145">
      <pivotArea field="11" type="button" dataOnly="0" labelOnly="1" outline="0" axis="axisRow" fieldPosition="0"/>
    </format>
    <format dxfId="1146">
      <pivotArea dataOnly="0" labelOnly="1" outline="0" axis="axisValues" fieldPosition="0"/>
    </format>
    <format dxfId="1147">
      <pivotArea dataOnly="0" labelOnly="1" fieldPosition="0">
        <references count="1">
          <reference field="11" count="1">
            <x v="1"/>
          </reference>
        </references>
      </pivotArea>
    </format>
    <format dxfId="1148">
      <pivotArea dataOnly="0" labelOnly="1" fieldPosition="0">
        <references count="1">
          <reference field="11" count="1">
            <x v="1"/>
          </reference>
        </references>
      </pivotArea>
    </format>
    <format dxfId="1149">
      <pivotArea dataOnly="0" labelOnly="1" fieldPosition="0">
        <references count="1">
          <reference field="11" count="1">
            <x v="1"/>
          </reference>
        </references>
      </pivotArea>
    </format>
    <format dxfId="1150">
      <pivotArea dataOnly="0" labelOnly="1" fieldPosition="0">
        <references count="1">
          <reference field="11" count="1">
            <x v="1"/>
          </reference>
        </references>
      </pivotArea>
    </format>
    <format dxfId="1151">
      <pivotArea dataOnly="0" labelOnly="1" fieldPosition="0">
        <references count="1">
          <reference field="11" count="1">
            <x v="1"/>
          </reference>
        </references>
      </pivotArea>
    </format>
    <format dxfId="1152">
      <pivotArea dataOnly="0" labelOnly="1" fieldPosition="0">
        <references count="1">
          <reference field="11" count="1">
            <x v="1"/>
          </reference>
        </references>
      </pivotArea>
    </format>
    <format dxfId="1153">
      <pivotArea collapsedLevelsAreSubtotals="1" fieldPosition="0">
        <references count="1">
          <reference field="11" count="1">
            <x v="1"/>
          </reference>
        </references>
      </pivotArea>
    </format>
    <format dxfId="1154">
      <pivotArea collapsedLevelsAreSubtotals="1" fieldPosition="0">
        <references count="1">
          <reference field="11" count="1">
            <x v="1"/>
          </reference>
        </references>
      </pivotArea>
    </format>
    <format dxfId="1155">
      <pivotArea collapsedLevelsAreSubtotals="1" fieldPosition="0">
        <references count="1">
          <reference field="11" count="1">
            <x v="1"/>
          </reference>
        </references>
      </pivotArea>
    </format>
    <format dxfId="1156">
      <pivotArea collapsedLevelsAreSubtotals="1" fieldPosition="0">
        <references count="1">
          <reference field="11" count="1">
            <x v="1"/>
          </reference>
        </references>
      </pivotArea>
    </format>
    <format dxfId="1157">
      <pivotArea collapsedLevelsAreSubtotals="1" fieldPosition="0">
        <references count="1">
          <reference field="11" count="1">
            <x v="1"/>
          </reference>
        </references>
      </pivotArea>
    </format>
    <format dxfId="1158">
      <pivotArea collapsedLevelsAreSubtotals="1" fieldPosition="0">
        <references count="1">
          <reference field="11" count="1">
            <x v="1"/>
          </reference>
        </references>
      </pivotArea>
    </format>
    <format dxfId="1159">
      <pivotArea dataOnly="0" labelOnly="1" fieldPosition="0">
        <references count="1">
          <reference field="11" count="1">
            <x v="1"/>
          </reference>
        </references>
      </pivotArea>
    </format>
    <format dxfId="1160">
      <pivotArea dataOnly="0" labelOnly="1" fieldPosition="0">
        <references count="1">
          <reference field="11" count="1">
            <x v="5"/>
          </reference>
        </references>
      </pivotArea>
    </format>
    <format dxfId="1161">
      <pivotArea dataOnly="0" labelOnly="1" fieldPosition="0">
        <references count="1">
          <reference field="11" count="1">
            <x v="5"/>
          </reference>
        </references>
      </pivotArea>
    </format>
    <format dxfId="1162">
      <pivotArea dataOnly="0" labelOnly="1" fieldPosition="0">
        <references count="1">
          <reference field="11" count="1">
            <x v="5"/>
          </reference>
        </references>
      </pivotArea>
    </format>
    <format dxfId="1163">
      <pivotArea dataOnly="0" labelOnly="1" fieldPosition="0">
        <references count="1">
          <reference field="11" count="1">
            <x v="5"/>
          </reference>
        </references>
      </pivotArea>
    </format>
    <format dxfId="1164">
      <pivotArea dataOnly="0" labelOnly="1" fieldPosition="0">
        <references count="1">
          <reference field="11" count="1">
            <x v="5"/>
          </reference>
        </references>
      </pivotArea>
    </format>
    <format dxfId="1165">
      <pivotArea dataOnly="0" labelOnly="1" fieldPosition="0">
        <references count="1">
          <reference field="11" count="1">
            <x v="5"/>
          </reference>
        </references>
      </pivotArea>
    </format>
    <format dxfId="1166">
      <pivotArea collapsedLevelsAreSubtotals="1" fieldPosition="0">
        <references count="1">
          <reference field="11" count="1">
            <x v="5"/>
          </reference>
        </references>
      </pivotArea>
    </format>
    <format dxfId="1167">
      <pivotArea collapsedLevelsAreSubtotals="1" fieldPosition="0">
        <references count="1">
          <reference field="11" count="1">
            <x v="5"/>
          </reference>
        </references>
      </pivotArea>
    </format>
    <format dxfId="1168">
      <pivotArea collapsedLevelsAreSubtotals="1" fieldPosition="0">
        <references count="1">
          <reference field="11" count="1">
            <x v="5"/>
          </reference>
        </references>
      </pivotArea>
    </format>
    <format dxfId="1169">
      <pivotArea collapsedLevelsAreSubtotals="1" fieldPosition="0">
        <references count="1">
          <reference field="11" count="1">
            <x v="5"/>
          </reference>
        </references>
      </pivotArea>
    </format>
    <format dxfId="1170">
      <pivotArea collapsedLevelsAreSubtotals="1" fieldPosition="0">
        <references count="1">
          <reference field="11" count="1">
            <x v="5"/>
          </reference>
        </references>
      </pivotArea>
    </format>
    <format dxfId="1171">
      <pivotArea collapsedLevelsAreSubtotals="1" fieldPosition="0">
        <references count="1">
          <reference field="11" count="1">
            <x v="5"/>
          </reference>
        </references>
      </pivotArea>
    </format>
    <format dxfId="1172">
      <pivotArea dataOnly="0" labelOnly="1" fieldPosition="0">
        <references count="1">
          <reference field="11" count="1">
            <x v="5"/>
          </reference>
        </references>
      </pivotArea>
    </format>
    <format dxfId="1173">
      <pivotArea dataOnly="0" labelOnly="1" fieldPosition="0">
        <references count="1">
          <reference field="11" count="1">
            <x v="0"/>
          </reference>
        </references>
      </pivotArea>
    </format>
    <format dxfId="1174">
      <pivotArea dataOnly="0" labelOnly="1" fieldPosition="0">
        <references count="1">
          <reference field="11" count="1">
            <x v="0"/>
          </reference>
        </references>
      </pivotArea>
    </format>
    <format dxfId="1175">
      <pivotArea dataOnly="0" labelOnly="1" fieldPosition="0">
        <references count="1">
          <reference field="11" count="1">
            <x v="0"/>
          </reference>
        </references>
      </pivotArea>
    </format>
    <format dxfId="1176">
      <pivotArea dataOnly="0" labelOnly="1" fieldPosition="0">
        <references count="1">
          <reference field="11" count="1">
            <x v="0"/>
          </reference>
        </references>
      </pivotArea>
    </format>
    <format dxfId="1177">
      <pivotArea dataOnly="0" labelOnly="1" fieldPosition="0">
        <references count="1">
          <reference field="11" count="1">
            <x v="0"/>
          </reference>
        </references>
      </pivotArea>
    </format>
    <format dxfId="1178">
      <pivotArea dataOnly="0" labelOnly="1" fieldPosition="0">
        <references count="1">
          <reference field="11" count="1">
            <x v="0"/>
          </reference>
        </references>
      </pivotArea>
    </format>
    <format dxfId="1179">
      <pivotArea collapsedLevelsAreSubtotals="1" fieldPosition="0">
        <references count="1">
          <reference field="11" count="1">
            <x v="0"/>
          </reference>
        </references>
      </pivotArea>
    </format>
    <format dxfId="1180">
      <pivotArea collapsedLevelsAreSubtotals="1" fieldPosition="0">
        <references count="1">
          <reference field="11" count="1">
            <x v="0"/>
          </reference>
        </references>
      </pivotArea>
    </format>
    <format dxfId="1181">
      <pivotArea collapsedLevelsAreSubtotals="1" fieldPosition="0">
        <references count="1">
          <reference field="11" count="1">
            <x v="0"/>
          </reference>
        </references>
      </pivotArea>
    </format>
    <format dxfId="1182">
      <pivotArea collapsedLevelsAreSubtotals="1" fieldPosition="0">
        <references count="1">
          <reference field="11" count="1">
            <x v="0"/>
          </reference>
        </references>
      </pivotArea>
    </format>
    <format dxfId="1183">
      <pivotArea collapsedLevelsAreSubtotals="1" fieldPosition="0">
        <references count="1">
          <reference field="11" count="1">
            <x v="0"/>
          </reference>
        </references>
      </pivotArea>
    </format>
    <format dxfId="1184">
      <pivotArea collapsedLevelsAreSubtotals="1" fieldPosition="0">
        <references count="1">
          <reference field="11" count="1">
            <x v="0"/>
          </reference>
        </references>
      </pivotArea>
    </format>
    <format dxfId="1185">
      <pivotArea dataOnly="0" labelOnly="1" fieldPosition="0">
        <references count="1">
          <reference field="11" count="1">
            <x v="0"/>
          </reference>
        </references>
      </pivotArea>
    </format>
    <format dxfId="1186">
      <pivotArea dataOnly="0" labelOnly="1" fieldPosition="0">
        <references count="1">
          <reference field="11" count="1">
            <x v="4"/>
          </reference>
        </references>
      </pivotArea>
    </format>
    <format dxfId="1187">
      <pivotArea dataOnly="0" labelOnly="1" fieldPosition="0">
        <references count="1">
          <reference field="11" count="1">
            <x v="4"/>
          </reference>
        </references>
      </pivotArea>
    </format>
    <format dxfId="1188">
      <pivotArea dataOnly="0" labelOnly="1" fieldPosition="0">
        <references count="1">
          <reference field="11" count="1">
            <x v="4"/>
          </reference>
        </references>
      </pivotArea>
    </format>
    <format dxfId="1189">
      <pivotArea dataOnly="0" labelOnly="1" fieldPosition="0">
        <references count="1">
          <reference field="11" count="1">
            <x v="4"/>
          </reference>
        </references>
      </pivotArea>
    </format>
    <format dxfId="1190">
      <pivotArea dataOnly="0" labelOnly="1" fieldPosition="0">
        <references count="1">
          <reference field="11" count="1">
            <x v="4"/>
          </reference>
        </references>
      </pivotArea>
    </format>
    <format dxfId="1191">
      <pivotArea dataOnly="0" labelOnly="1" fieldPosition="0">
        <references count="1">
          <reference field="11" count="1">
            <x v="4"/>
          </reference>
        </references>
      </pivotArea>
    </format>
    <format dxfId="1192">
      <pivotArea collapsedLevelsAreSubtotals="1" fieldPosition="0">
        <references count="1">
          <reference field="11" count="1">
            <x v="4"/>
          </reference>
        </references>
      </pivotArea>
    </format>
    <format dxfId="1193">
      <pivotArea collapsedLevelsAreSubtotals="1" fieldPosition="0">
        <references count="1">
          <reference field="11" count="1">
            <x v="4"/>
          </reference>
        </references>
      </pivotArea>
    </format>
    <format dxfId="1194">
      <pivotArea collapsedLevelsAreSubtotals="1" fieldPosition="0">
        <references count="1">
          <reference field="11" count="1">
            <x v="4"/>
          </reference>
        </references>
      </pivotArea>
    </format>
    <format dxfId="1195">
      <pivotArea collapsedLevelsAreSubtotals="1" fieldPosition="0">
        <references count="1">
          <reference field="11" count="1">
            <x v="4"/>
          </reference>
        </references>
      </pivotArea>
    </format>
    <format dxfId="1196">
      <pivotArea collapsedLevelsAreSubtotals="1" fieldPosition="0">
        <references count="1">
          <reference field="11" count="1">
            <x v="4"/>
          </reference>
        </references>
      </pivotArea>
    </format>
    <format dxfId="1197">
      <pivotArea collapsedLevelsAreSubtotals="1" fieldPosition="0">
        <references count="1">
          <reference field="11" count="1">
            <x v="4"/>
          </reference>
        </references>
      </pivotArea>
    </format>
    <format dxfId="1198">
      <pivotArea dataOnly="0" labelOnly="1" fieldPosition="0">
        <references count="1">
          <reference field="11" count="1">
            <x v="4"/>
          </reference>
        </references>
      </pivotArea>
    </format>
    <format dxfId="1199">
      <pivotArea dataOnly="0" labelOnly="1" fieldPosition="0">
        <references count="1">
          <reference field="11" count="1">
            <x v="2"/>
          </reference>
        </references>
      </pivotArea>
    </format>
    <format dxfId="1200">
      <pivotArea dataOnly="0" labelOnly="1" fieldPosition="0">
        <references count="1">
          <reference field="11" count="1">
            <x v="2"/>
          </reference>
        </references>
      </pivotArea>
    </format>
    <format dxfId="1201">
      <pivotArea dataOnly="0" labelOnly="1" fieldPosition="0">
        <references count="1">
          <reference field="11" count="1">
            <x v="2"/>
          </reference>
        </references>
      </pivotArea>
    </format>
    <format dxfId="1202">
      <pivotArea dataOnly="0" labelOnly="1" fieldPosition="0">
        <references count="1">
          <reference field="11" count="1">
            <x v="2"/>
          </reference>
        </references>
      </pivotArea>
    </format>
    <format dxfId="1203">
      <pivotArea dataOnly="0" labelOnly="1" fieldPosition="0">
        <references count="1">
          <reference field="11" count="1">
            <x v="2"/>
          </reference>
        </references>
      </pivotArea>
    </format>
    <format dxfId="1204">
      <pivotArea dataOnly="0" labelOnly="1" fieldPosition="0">
        <references count="1">
          <reference field="11" count="1">
            <x v="2"/>
          </reference>
        </references>
      </pivotArea>
    </format>
    <format dxfId="1205">
      <pivotArea collapsedLevelsAreSubtotals="1" fieldPosition="0">
        <references count="1">
          <reference field="11" count="1">
            <x v="2"/>
          </reference>
        </references>
      </pivotArea>
    </format>
    <format dxfId="1206">
      <pivotArea collapsedLevelsAreSubtotals="1" fieldPosition="0">
        <references count="1">
          <reference field="11" count="1">
            <x v="2"/>
          </reference>
        </references>
      </pivotArea>
    </format>
    <format dxfId="1207">
      <pivotArea collapsedLevelsAreSubtotals="1" fieldPosition="0">
        <references count="1">
          <reference field="11" count="1">
            <x v="2"/>
          </reference>
        </references>
      </pivotArea>
    </format>
    <format dxfId="1208">
      <pivotArea collapsedLevelsAreSubtotals="1" fieldPosition="0">
        <references count="1">
          <reference field="11" count="1">
            <x v="2"/>
          </reference>
        </references>
      </pivotArea>
    </format>
    <format dxfId="1209">
      <pivotArea collapsedLevelsAreSubtotals="1" fieldPosition="0">
        <references count="1">
          <reference field="11" count="1">
            <x v="2"/>
          </reference>
        </references>
      </pivotArea>
    </format>
    <format dxfId="1210">
      <pivotArea collapsedLevelsAreSubtotals="1" fieldPosition="0">
        <references count="1">
          <reference field="11" count="1">
            <x v="2"/>
          </reference>
        </references>
      </pivotArea>
    </format>
    <format dxfId="1211">
      <pivotArea dataOnly="0" labelOnly="1" fieldPosition="0">
        <references count="1">
          <reference field="11" count="1">
            <x v="2"/>
          </reference>
        </references>
      </pivotArea>
    </format>
    <format dxfId="1212">
      <pivotArea dataOnly="0" labelOnly="1" fieldPosition="0">
        <references count="1">
          <reference field="11" count="1">
            <x v="3"/>
          </reference>
        </references>
      </pivotArea>
    </format>
    <format dxfId="1213">
      <pivotArea dataOnly="0" labelOnly="1" fieldPosition="0">
        <references count="1">
          <reference field="11" count="1">
            <x v="3"/>
          </reference>
        </references>
      </pivotArea>
    </format>
    <format dxfId="1214">
      <pivotArea dataOnly="0" labelOnly="1" fieldPosition="0">
        <references count="1">
          <reference field="11" count="1">
            <x v="3"/>
          </reference>
        </references>
      </pivotArea>
    </format>
    <format dxfId="1215">
      <pivotArea dataOnly="0" labelOnly="1" fieldPosition="0">
        <references count="1">
          <reference field="11" count="1">
            <x v="3"/>
          </reference>
        </references>
      </pivotArea>
    </format>
    <format dxfId="1216">
      <pivotArea dataOnly="0" labelOnly="1" fieldPosition="0">
        <references count="1">
          <reference field="11" count="1">
            <x v="3"/>
          </reference>
        </references>
      </pivotArea>
    </format>
    <format dxfId="1217">
      <pivotArea dataOnly="0" labelOnly="1" fieldPosition="0">
        <references count="1">
          <reference field="11" count="1">
            <x v="3"/>
          </reference>
        </references>
      </pivotArea>
    </format>
    <format dxfId="1218">
      <pivotArea collapsedLevelsAreSubtotals="1" fieldPosition="0">
        <references count="1">
          <reference field="11" count="1">
            <x v="3"/>
          </reference>
        </references>
      </pivotArea>
    </format>
    <format dxfId="1219">
      <pivotArea collapsedLevelsAreSubtotals="1" fieldPosition="0">
        <references count="1">
          <reference field="11" count="1">
            <x v="3"/>
          </reference>
        </references>
      </pivotArea>
    </format>
    <format dxfId="1220">
      <pivotArea collapsedLevelsAreSubtotals="1" fieldPosition="0">
        <references count="1">
          <reference field="11" count="1">
            <x v="3"/>
          </reference>
        </references>
      </pivotArea>
    </format>
    <format dxfId="1221">
      <pivotArea collapsedLevelsAreSubtotals="1" fieldPosition="0">
        <references count="1">
          <reference field="11" count="1">
            <x v="3"/>
          </reference>
        </references>
      </pivotArea>
    </format>
    <format dxfId="1222">
      <pivotArea collapsedLevelsAreSubtotals="1" fieldPosition="0">
        <references count="1">
          <reference field="11" count="1">
            <x v="3"/>
          </reference>
        </references>
      </pivotArea>
    </format>
    <format dxfId="1223">
      <pivotArea collapsedLevelsAreSubtotals="1" fieldPosition="0">
        <references count="1">
          <reference field="11" count="1">
            <x v="3"/>
          </reference>
        </references>
      </pivotArea>
    </format>
    <format dxfId="1224">
      <pivotArea dataOnly="0" labelOnly="1" fieldPosition="0">
        <references count="1">
          <reference field="11" count="1">
            <x v="3"/>
          </reference>
        </references>
      </pivotArea>
    </format>
    <format dxfId="1225">
      <pivotArea grandRow="1" outline="0" collapsedLevelsAreSubtotals="1" fieldPosition="0"/>
    </format>
    <format dxfId="1226">
      <pivotArea dataOnly="0" labelOnly="1" grandRow="1" outline="0" fieldPosition="0"/>
    </format>
    <format dxfId="1227">
      <pivotArea grandRow="1" outline="0" collapsedLevelsAreSubtotals="1" fieldPosition="0"/>
    </format>
    <format dxfId="1228">
      <pivotArea dataOnly="0" labelOnly="1" grandRow="1" outline="0" fieldPosition="0"/>
    </format>
    <format dxfId="1229">
      <pivotArea grandRow="1" outline="0" collapsedLevelsAreSubtotals="1" fieldPosition="0"/>
    </format>
    <format dxfId="1230">
      <pivotArea dataOnly="0" labelOnly="1" grandRow="1" outline="0" fieldPosition="0"/>
    </format>
    <format dxfId="1231">
      <pivotArea grandRow="1" outline="0" collapsedLevelsAreSubtotals="1" fieldPosition="0"/>
    </format>
    <format dxfId="1232">
      <pivotArea dataOnly="0" labelOnly="1" grandRow="1" outline="0" fieldPosition="0"/>
    </format>
    <format dxfId="1233">
      <pivotArea grandRow="1" outline="0" collapsedLevelsAreSubtotals="1" fieldPosition="0"/>
    </format>
    <format dxfId="1234">
      <pivotArea dataOnly="0" labelOnly="1" grandRow="1" outline="0" fieldPosition="0"/>
    </format>
    <format dxfId="1235">
      <pivotArea dataOnly="0" labelOnly="1" grandRow="1" outline="0" fieldPosition="0"/>
    </format>
    <format dxfId="1236">
      <pivotArea grandRow="1" outline="0" collapsedLevelsAreSubtotals="1" fieldPosition="0"/>
    </format>
    <format dxfId="1237">
      <pivotArea type="all" dataOnly="0" outline="0" fieldPosition="0"/>
    </format>
    <format dxfId="1238">
      <pivotArea outline="0" collapsedLevelsAreSubtotals="1" fieldPosition="0"/>
    </format>
    <format dxfId="1239">
      <pivotArea dataOnly="0" labelOnly="1" fieldPosition="0">
        <references count="1">
          <reference field="11" count="0"/>
        </references>
      </pivotArea>
    </format>
    <format dxfId="1240">
      <pivotArea field="11" type="button" dataOnly="0" labelOnly="1" outline="0" axis="axisRow" fieldPosition="0"/>
    </format>
    <format dxfId="1241">
      <pivotArea dataOnly="0" labelOnly="1" outline="0" axis="axisValues" fieldPosition="0"/>
    </format>
    <format dxfId="1242">
      <pivotArea grandRow="1" outline="0" collapsedLevelsAreSubtotals="1" fieldPosition="0"/>
    </format>
    <format dxfId="1243">
      <pivotArea dataOnly="0" labelOnly="1" grandRow="1" outline="0" fieldPosition="0"/>
    </format>
    <format dxfId="1244">
      <pivotArea dataOnly="0" labelOnly="1" fieldPosition="0">
        <references count="1">
          <reference field="11" count="1">
            <x v="7"/>
          </reference>
        </references>
      </pivotArea>
    </format>
    <format dxfId="1245">
      <pivotArea dataOnly="0" labelOnly="1" fieldPosition="0">
        <references count="1">
          <reference field="11" count="1">
            <x v="7"/>
          </reference>
        </references>
      </pivotArea>
    </format>
    <format dxfId="1246">
      <pivotArea dataOnly="0" labelOnly="1" fieldPosition="0">
        <references count="1">
          <reference field="11" count="1">
            <x v="7"/>
          </reference>
        </references>
      </pivotArea>
    </format>
    <format dxfId="1247">
      <pivotArea dataOnly="0" labelOnly="1" fieldPosition="0">
        <references count="1">
          <reference field="11" count="1">
            <x v="7"/>
          </reference>
        </references>
      </pivotArea>
    </format>
    <format dxfId="1248">
      <pivotArea dataOnly="0" labelOnly="1" fieldPosition="0">
        <references count="1">
          <reference field="11" count="1">
            <x v="7"/>
          </reference>
        </references>
      </pivotArea>
    </format>
    <format dxfId="1249">
      <pivotArea dataOnly="0" labelOnly="1" fieldPosition="0">
        <references count="1">
          <reference field="11" count="1">
            <x v="7"/>
          </reference>
        </references>
      </pivotArea>
    </format>
    <format dxfId="1250">
      <pivotArea dataOnly="0" labelOnly="1" fieldPosition="0">
        <references count="1">
          <reference field="11" count="1">
            <x v="7"/>
          </reference>
        </references>
      </pivotArea>
    </format>
    <format dxfId="1251">
      <pivotArea collapsedLevelsAreSubtotals="1" fieldPosition="0">
        <references count="1">
          <reference field="11" count="1">
            <x v="7"/>
          </reference>
        </references>
      </pivotArea>
    </format>
    <format dxfId="1252">
      <pivotArea collapsedLevelsAreSubtotals="1" fieldPosition="0">
        <references count="1">
          <reference field="11" count="1">
            <x v="7"/>
          </reference>
        </references>
      </pivotArea>
    </format>
    <format dxfId="1253">
      <pivotArea collapsedLevelsAreSubtotals="1" fieldPosition="0">
        <references count="1">
          <reference field="11" count="1">
            <x v="7"/>
          </reference>
        </references>
      </pivotArea>
    </format>
    <format dxfId="1254">
      <pivotArea collapsedLevelsAreSubtotals="1" fieldPosition="0">
        <references count="1">
          <reference field="11" count="1">
            <x v="7"/>
          </reference>
        </references>
      </pivotArea>
    </format>
    <format dxfId="1255">
      <pivotArea collapsedLevelsAreSubtotals="1" fieldPosition="0">
        <references count="1">
          <reference field="11" count="1">
            <x v="7"/>
          </reference>
        </references>
      </pivotArea>
    </format>
    <format dxfId="1256">
      <pivotArea collapsedLevelsAreSubtotals="1" fieldPosition="0">
        <references count="1">
          <reference field="11" count="1">
            <x v="7"/>
          </reference>
        </references>
      </pivotArea>
    </format>
    <format dxfId="1257">
      <pivotArea collapsedLevelsAreSubtotals="1" fieldPosition="0">
        <references count="1">
          <reference field="11" count="1">
            <x v="7"/>
          </reference>
        </references>
      </pivotArea>
    </format>
    <format dxfId="1258">
      <pivotArea dataOnly="0" labelOnly="1" fieldPosition="0">
        <references count="1">
          <reference field="11" count="1">
            <x v="7"/>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31161C-C8CB-42A8-853C-DE3CC0EC83D9}" name="Kontingenční tabulka2" cacheId="3503" applyNumberFormats="0" applyBorderFormats="0" applyFontFormats="0" applyPatternFormats="0" applyAlignmentFormats="0" applyWidthHeightFormats="1" dataCaption="Hodnoty" updatedVersion="8" minRefreshableVersion="3" useAutoFormatting="1" itemPrintTitles="1" createdVersion="8" indent="0" outline="1" outlineData="1" multipleFieldFilters="0" chartFormat="1" rowHeaderCaption="Vac by Division">
  <location ref="A13:B32" firstHeaderRow="1" firstDataRow="1" firstDataCol="1"/>
  <pivotFields count="17">
    <pivotField showAll="0"/>
    <pivotField showAll="0"/>
    <pivotField showAll="0"/>
    <pivotField showAll="0"/>
    <pivotField showAll="0"/>
    <pivotField showAll="0"/>
    <pivotField axis="axisRow" showAll="0">
      <items count="22">
        <item m="1" x="18"/>
        <item x="6"/>
        <item x="9"/>
        <item x="8"/>
        <item m="1" x="19"/>
        <item x="7"/>
        <item x="11"/>
        <item x="5"/>
        <item x="2"/>
        <item x="1"/>
        <item x="13"/>
        <item x="14"/>
        <item x="17"/>
        <item x="0"/>
        <item x="4"/>
        <item m="1" x="20"/>
        <item x="3"/>
        <item x="12"/>
        <item x="10"/>
        <item x="15"/>
        <item x="16"/>
        <item t="default"/>
      </items>
    </pivotField>
    <pivotField showAll="0"/>
    <pivotField showAll="0"/>
    <pivotField showAll="0"/>
    <pivotField showAll="0"/>
    <pivotField showAll="0"/>
    <pivotField showAll="0"/>
    <pivotField showAll="0"/>
    <pivotField showAll="0"/>
    <pivotField showAll="0"/>
    <pivotField dataField="1" showAll="0"/>
  </pivotFields>
  <rowFields count="1">
    <field x="6"/>
  </rowFields>
  <rowItems count="19">
    <i>
      <x v="1"/>
    </i>
    <i>
      <x v="2"/>
    </i>
    <i>
      <x v="3"/>
    </i>
    <i>
      <x v="5"/>
    </i>
    <i>
      <x v="6"/>
    </i>
    <i>
      <x v="7"/>
    </i>
    <i>
      <x v="8"/>
    </i>
    <i>
      <x v="9"/>
    </i>
    <i>
      <x v="10"/>
    </i>
    <i>
      <x v="11"/>
    </i>
    <i>
      <x v="12"/>
    </i>
    <i>
      <x v="13"/>
    </i>
    <i>
      <x v="14"/>
    </i>
    <i>
      <x v="16"/>
    </i>
    <i>
      <x v="17"/>
    </i>
    <i>
      <x v="18"/>
    </i>
    <i>
      <x v="19"/>
    </i>
    <i>
      <x v="20"/>
    </i>
    <i t="grand">
      <x/>
    </i>
  </rowItems>
  <colItems count="1">
    <i/>
  </colItems>
  <dataFields count="1">
    <dataField name="Vacancies" fld="16" baseField="0" baseItem="0"/>
  </dataFields>
  <formats count="282">
    <format dxfId="848">
      <pivotArea type="all" dataOnly="0" outline="0" fieldPosition="0"/>
    </format>
    <format dxfId="849">
      <pivotArea field="6" type="button" dataOnly="0" labelOnly="1" outline="0" axis="axisRow" fieldPosition="0"/>
    </format>
    <format dxfId="850">
      <pivotArea dataOnly="0" labelOnly="1" fieldPosition="0">
        <references count="1">
          <reference field="6" count="0"/>
        </references>
      </pivotArea>
    </format>
    <format dxfId="851">
      <pivotArea dataOnly="0" labelOnly="1" grandRow="1" outline="0" fieldPosition="0"/>
    </format>
    <format dxfId="852">
      <pivotArea dataOnly="0" labelOnly="1" outline="0" axis="axisValues" fieldPosition="0"/>
    </format>
    <format dxfId="853">
      <pivotArea field="6" type="button" dataOnly="0" labelOnly="1" outline="0" axis="axisRow" fieldPosition="0"/>
    </format>
    <format dxfId="854">
      <pivotArea dataOnly="0" labelOnly="1" outline="0" axis="axisValues" fieldPosition="0"/>
    </format>
    <format dxfId="855">
      <pivotArea field="6" type="button" dataOnly="0" labelOnly="1" outline="0" axis="axisRow" fieldPosition="0"/>
    </format>
    <format dxfId="856">
      <pivotArea dataOnly="0" labelOnly="1" outline="0" axis="axisValues" fieldPosition="0"/>
    </format>
    <format dxfId="857">
      <pivotArea field="6" type="button" dataOnly="0" labelOnly="1" outline="0" axis="axisRow" fieldPosition="0"/>
    </format>
    <format dxfId="858">
      <pivotArea dataOnly="0" labelOnly="1" outline="0" axis="axisValues" fieldPosition="0"/>
    </format>
    <format dxfId="859">
      <pivotArea field="6" type="button" dataOnly="0" labelOnly="1" outline="0" axis="axisRow" fieldPosition="0"/>
    </format>
    <format dxfId="860">
      <pivotArea dataOnly="0" labelOnly="1" outline="0" axis="axisValues" fieldPosition="0"/>
    </format>
    <format dxfId="861">
      <pivotArea field="6" type="button" dataOnly="0" labelOnly="1" outline="0" axis="axisRow" fieldPosition="0"/>
    </format>
    <format dxfId="862">
      <pivotArea dataOnly="0" labelOnly="1" outline="0" axis="axisValues" fieldPosition="0"/>
    </format>
    <format dxfId="863">
      <pivotArea field="6" type="button" dataOnly="0" labelOnly="1" outline="0" axis="axisRow" fieldPosition="0"/>
    </format>
    <format dxfId="864">
      <pivotArea dataOnly="0" labelOnly="1" outline="0" axis="axisValues" fieldPosition="0"/>
    </format>
    <format dxfId="865">
      <pivotArea field="6" type="button" dataOnly="0" labelOnly="1" outline="0" axis="axisRow" fieldPosition="0"/>
    </format>
    <format dxfId="866">
      <pivotArea dataOnly="0" labelOnly="1" outline="0" axis="axisValues" fieldPosition="0"/>
    </format>
    <format dxfId="867">
      <pivotArea field="6" type="button" dataOnly="0" labelOnly="1" outline="0" axis="axisRow" fieldPosition="0"/>
    </format>
    <format dxfId="868">
      <pivotArea dataOnly="0" labelOnly="1" outline="0" axis="axisValues" fieldPosition="0"/>
    </format>
    <format dxfId="869">
      <pivotArea field="6" type="button" dataOnly="0" labelOnly="1" outline="0" axis="axisRow" fieldPosition="0"/>
    </format>
    <format dxfId="870">
      <pivotArea dataOnly="0" labelOnly="1" outline="0" axis="axisValues" fieldPosition="0"/>
    </format>
    <format dxfId="871">
      <pivotArea field="6" type="button" dataOnly="0" labelOnly="1" outline="0" axis="axisRow" fieldPosition="0"/>
    </format>
    <format dxfId="872">
      <pivotArea dataOnly="0" labelOnly="1" outline="0" axis="axisValues" fieldPosition="0"/>
    </format>
    <format dxfId="873">
      <pivotArea field="6" type="button" dataOnly="0" labelOnly="1" outline="0" axis="axisRow" fieldPosition="0"/>
    </format>
    <format dxfId="874">
      <pivotArea dataOnly="0" labelOnly="1" outline="0" axis="axisValues" fieldPosition="0"/>
    </format>
    <format dxfId="875">
      <pivotArea field="6" type="button" dataOnly="0" labelOnly="1" outline="0" axis="axisRow" fieldPosition="0"/>
    </format>
    <format dxfId="876">
      <pivotArea dataOnly="0" labelOnly="1" outline="0" axis="axisValues" fieldPosition="0"/>
    </format>
    <format dxfId="877">
      <pivotArea dataOnly="0" labelOnly="1" fieldPosition="0">
        <references count="1">
          <reference field="6" count="1">
            <x v="3"/>
          </reference>
        </references>
      </pivotArea>
    </format>
    <format dxfId="878">
      <pivotArea dataOnly="0" labelOnly="1" fieldPosition="0">
        <references count="1">
          <reference field="6" count="1">
            <x v="3"/>
          </reference>
        </references>
      </pivotArea>
    </format>
    <format dxfId="879">
      <pivotArea dataOnly="0" labelOnly="1" fieldPosition="0">
        <references count="1">
          <reference field="6" count="1">
            <x v="3"/>
          </reference>
        </references>
      </pivotArea>
    </format>
    <format dxfId="880">
      <pivotArea dataOnly="0" labelOnly="1" fieldPosition="0">
        <references count="1">
          <reference field="6" count="1">
            <x v="3"/>
          </reference>
        </references>
      </pivotArea>
    </format>
    <format dxfId="881">
      <pivotArea dataOnly="0" labelOnly="1" fieldPosition="0">
        <references count="1">
          <reference field="6" count="1">
            <x v="3"/>
          </reference>
        </references>
      </pivotArea>
    </format>
    <format dxfId="882">
      <pivotArea dataOnly="0" labelOnly="1" fieldPosition="0">
        <references count="1">
          <reference field="6" count="1">
            <x v="3"/>
          </reference>
        </references>
      </pivotArea>
    </format>
    <format dxfId="883">
      <pivotArea collapsedLevelsAreSubtotals="1" fieldPosition="0">
        <references count="1">
          <reference field="6" count="1">
            <x v="3"/>
          </reference>
        </references>
      </pivotArea>
    </format>
    <format dxfId="884">
      <pivotArea collapsedLevelsAreSubtotals="1" fieldPosition="0">
        <references count="1">
          <reference field="6" count="1">
            <x v="3"/>
          </reference>
        </references>
      </pivotArea>
    </format>
    <format dxfId="885">
      <pivotArea collapsedLevelsAreSubtotals="1" fieldPosition="0">
        <references count="1">
          <reference field="6" count="1">
            <x v="3"/>
          </reference>
        </references>
      </pivotArea>
    </format>
    <format dxfId="886">
      <pivotArea collapsedLevelsAreSubtotals="1" fieldPosition="0">
        <references count="1">
          <reference field="6" count="1">
            <x v="3"/>
          </reference>
        </references>
      </pivotArea>
    </format>
    <format dxfId="887">
      <pivotArea collapsedLevelsAreSubtotals="1" fieldPosition="0">
        <references count="1">
          <reference field="6" count="1">
            <x v="3"/>
          </reference>
        </references>
      </pivotArea>
    </format>
    <format dxfId="888">
      <pivotArea collapsedLevelsAreSubtotals="1" fieldPosition="0">
        <references count="1">
          <reference field="6" count="1">
            <x v="3"/>
          </reference>
        </references>
      </pivotArea>
    </format>
    <format dxfId="889">
      <pivotArea dataOnly="0" labelOnly="1" fieldPosition="0">
        <references count="1">
          <reference field="6" count="1">
            <x v="3"/>
          </reference>
        </references>
      </pivotArea>
    </format>
    <format dxfId="890">
      <pivotArea dataOnly="0" labelOnly="1" fieldPosition="0">
        <references count="1">
          <reference field="6" count="1">
            <x v="1"/>
          </reference>
        </references>
      </pivotArea>
    </format>
    <format dxfId="891">
      <pivotArea dataOnly="0" labelOnly="1" fieldPosition="0">
        <references count="1">
          <reference field="6" count="1">
            <x v="1"/>
          </reference>
        </references>
      </pivotArea>
    </format>
    <format dxfId="892">
      <pivotArea dataOnly="0" labelOnly="1" fieldPosition="0">
        <references count="1">
          <reference field="6" count="1">
            <x v="1"/>
          </reference>
        </references>
      </pivotArea>
    </format>
    <format dxfId="893">
      <pivotArea dataOnly="0" labelOnly="1" fieldPosition="0">
        <references count="1">
          <reference field="6" count="1">
            <x v="1"/>
          </reference>
        </references>
      </pivotArea>
    </format>
    <format dxfId="894">
      <pivotArea dataOnly="0" labelOnly="1" fieldPosition="0">
        <references count="1">
          <reference field="6" count="1">
            <x v="1"/>
          </reference>
        </references>
      </pivotArea>
    </format>
    <format dxfId="895">
      <pivotArea dataOnly="0" labelOnly="1" fieldPosition="0">
        <references count="1">
          <reference field="6" count="1">
            <x v="1"/>
          </reference>
        </references>
      </pivotArea>
    </format>
    <format dxfId="896">
      <pivotArea collapsedLevelsAreSubtotals="1" fieldPosition="0">
        <references count="1">
          <reference field="6" count="1">
            <x v="1"/>
          </reference>
        </references>
      </pivotArea>
    </format>
    <format dxfId="897">
      <pivotArea collapsedLevelsAreSubtotals="1" fieldPosition="0">
        <references count="1">
          <reference field="6" count="1">
            <x v="1"/>
          </reference>
        </references>
      </pivotArea>
    </format>
    <format dxfId="898">
      <pivotArea collapsedLevelsAreSubtotals="1" fieldPosition="0">
        <references count="1">
          <reference field="6" count="1">
            <x v="1"/>
          </reference>
        </references>
      </pivotArea>
    </format>
    <format dxfId="899">
      <pivotArea collapsedLevelsAreSubtotals="1" fieldPosition="0">
        <references count="1">
          <reference field="6" count="1">
            <x v="1"/>
          </reference>
        </references>
      </pivotArea>
    </format>
    <format dxfId="900">
      <pivotArea collapsedLevelsAreSubtotals="1" fieldPosition="0">
        <references count="1">
          <reference field="6" count="1">
            <x v="1"/>
          </reference>
        </references>
      </pivotArea>
    </format>
    <format dxfId="901">
      <pivotArea collapsedLevelsAreSubtotals="1" fieldPosition="0">
        <references count="1">
          <reference field="6" count="1">
            <x v="1"/>
          </reference>
        </references>
      </pivotArea>
    </format>
    <format dxfId="902">
      <pivotArea dataOnly="0" labelOnly="1" fieldPosition="0">
        <references count="1">
          <reference field="6" count="1">
            <x v="1"/>
          </reference>
        </references>
      </pivotArea>
    </format>
    <format dxfId="903">
      <pivotArea dataOnly="0" labelOnly="1" fieldPosition="0">
        <references count="1">
          <reference field="6" count="1">
            <x v="5"/>
          </reference>
        </references>
      </pivotArea>
    </format>
    <format dxfId="904">
      <pivotArea dataOnly="0" labelOnly="1" fieldPosition="0">
        <references count="1">
          <reference field="6" count="1">
            <x v="5"/>
          </reference>
        </references>
      </pivotArea>
    </format>
    <format dxfId="905">
      <pivotArea dataOnly="0" labelOnly="1" fieldPosition="0">
        <references count="1">
          <reference field="6" count="1">
            <x v="5"/>
          </reference>
        </references>
      </pivotArea>
    </format>
    <format dxfId="906">
      <pivotArea dataOnly="0" labelOnly="1" fieldPosition="0">
        <references count="1">
          <reference field="6" count="1">
            <x v="5"/>
          </reference>
        </references>
      </pivotArea>
    </format>
    <format dxfId="907">
      <pivotArea dataOnly="0" labelOnly="1" fieldPosition="0">
        <references count="1">
          <reference field="6" count="1">
            <x v="5"/>
          </reference>
        </references>
      </pivotArea>
    </format>
    <format dxfId="908">
      <pivotArea dataOnly="0" labelOnly="1" fieldPosition="0">
        <references count="1">
          <reference field="6" count="1">
            <x v="5"/>
          </reference>
        </references>
      </pivotArea>
    </format>
    <format dxfId="909">
      <pivotArea collapsedLevelsAreSubtotals="1" fieldPosition="0">
        <references count="1">
          <reference field="6" count="1">
            <x v="5"/>
          </reference>
        </references>
      </pivotArea>
    </format>
    <format dxfId="910">
      <pivotArea collapsedLevelsAreSubtotals="1" fieldPosition="0">
        <references count="1">
          <reference field="6" count="1">
            <x v="5"/>
          </reference>
        </references>
      </pivotArea>
    </format>
    <format dxfId="911">
      <pivotArea collapsedLevelsAreSubtotals="1" fieldPosition="0">
        <references count="1">
          <reference field="6" count="1">
            <x v="5"/>
          </reference>
        </references>
      </pivotArea>
    </format>
    <format dxfId="912">
      <pivotArea collapsedLevelsAreSubtotals="1" fieldPosition="0">
        <references count="1">
          <reference field="6" count="1">
            <x v="5"/>
          </reference>
        </references>
      </pivotArea>
    </format>
    <format dxfId="913">
      <pivotArea collapsedLevelsAreSubtotals="1" fieldPosition="0">
        <references count="1">
          <reference field="6" count="1">
            <x v="5"/>
          </reference>
        </references>
      </pivotArea>
    </format>
    <format dxfId="914">
      <pivotArea collapsedLevelsAreSubtotals="1" fieldPosition="0">
        <references count="1">
          <reference field="6" count="1">
            <x v="5"/>
          </reference>
        </references>
      </pivotArea>
    </format>
    <format dxfId="915">
      <pivotArea dataOnly="0" labelOnly="1" fieldPosition="0">
        <references count="1">
          <reference field="6" count="1">
            <x v="5"/>
          </reference>
        </references>
      </pivotArea>
    </format>
    <format dxfId="916">
      <pivotArea dataOnly="0" labelOnly="1" fieldPosition="0">
        <references count="1">
          <reference field="6" count="1">
            <x v="7"/>
          </reference>
        </references>
      </pivotArea>
    </format>
    <format dxfId="917">
      <pivotArea dataOnly="0" labelOnly="1" fieldPosition="0">
        <references count="1">
          <reference field="6" count="1">
            <x v="7"/>
          </reference>
        </references>
      </pivotArea>
    </format>
    <format dxfId="918">
      <pivotArea dataOnly="0" labelOnly="1" fieldPosition="0">
        <references count="1">
          <reference field="6" count="1">
            <x v="7"/>
          </reference>
        </references>
      </pivotArea>
    </format>
    <format dxfId="919">
      <pivotArea dataOnly="0" labelOnly="1" fieldPosition="0">
        <references count="1">
          <reference field="6" count="1">
            <x v="7"/>
          </reference>
        </references>
      </pivotArea>
    </format>
    <format dxfId="920">
      <pivotArea dataOnly="0" labelOnly="1" fieldPosition="0">
        <references count="1">
          <reference field="6" count="1">
            <x v="7"/>
          </reference>
        </references>
      </pivotArea>
    </format>
    <format dxfId="921">
      <pivotArea dataOnly="0" labelOnly="1" fieldPosition="0">
        <references count="1">
          <reference field="6" count="1">
            <x v="7"/>
          </reference>
        </references>
      </pivotArea>
    </format>
    <format dxfId="922">
      <pivotArea collapsedLevelsAreSubtotals="1" fieldPosition="0">
        <references count="1">
          <reference field="6" count="1">
            <x v="7"/>
          </reference>
        </references>
      </pivotArea>
    </format>
    <format dxfId="923">
      <pivotArea collapsedLevelsAreSubtotals="1" fieldPosition="0">
        <references count="1">
          <reference field="6" count="1">
            <x v="7"/>
          </reference>
        </references>
      </pivotArea>
    </format>
    <format dxfId="924">
      <pivotArea collapsedLevelsAreSubtotals="1" fieldPosition="0">
        <references count="1">
          <reference field="6" count="1">
            <x v="7"/>
          </reference>
        </references>
      </pivotArea>
    </format>
    <format dxfId="925">
      <pivotArea collapsedLevelsAreSubtotals="1" fieldPosition="0">
        <references count="1">
          <reference field="6" count="1">
            <x v="7"/>
          </reference>
        </references>
      </pivotArea>
    </format>
    <format dxfId="926">
      <pivotArea collapsedLevelsAreSubtotals="1" fieldPosition="0">
        <references count="1">
          <reference field="6" count="1">
            <x v="7"/>
          </reference>
        </references>
      </pivotArea>
    </format>
    <format dxfId="927">
      <pivotArea collapsedLevelsAreSubtotals="1" fieldPosition="0">
        <references count="1">
          <reference field="6" count="1">
            <x v="7"/>
          </reference>
        </references>
      </pivotArea>
    </format>
    <format dxfId="928">
      <pivotArea dataOnly="0" labelOnly="1" fieldPosition="0">
        <references count="1">
          <reference field="6" count="1">
            <x v="7"/>
          </reference>
        </references>
      </pivotArea>
    </format>
    <format dxfId="929">
      <pivotArea dataOnly="0" labelOnly="1" fieldPosition="0">
        <references count="1">
          <reference field="6" count="1">
            <x v="2"/>
          </reference>
        </references>
      </pivotArea>
    </format>
    <format dxfId="930">
      <pivotArea dataOnly="0" labelOnly="1" fieldPosition="0">
        <references count="1">
          <reference field="6" count="1">
            <x v="2"/>
          </reference>
        </references>
      </pivotArea>
    </format>
    <format dxfId="931">
      <pivotArea dataOnly="0" labelOnly="1" fieldPosition="0">
        <references count="1">
          <reference field="6" count="1">
            <x v="2"/>
          </reference>
        </references>
      </pivotArea>
    </format>
    <format dxfId="932">
      <pivotArea dataOnly="0" labelOnly="1" fieldPosition="0">
        <references count="1">
          <reference field="6" count="1">
            <x v="2"/>
          </reference>
        </references>
      </pivotArea>
    </format>
    <format dxfId="933">
      <pivotArea dataOnly="0" labelOnly="1" fieldPosition="0">
        <references count="1">
          <reference field="6" count="1">
            <x v="2"/>
          </reference>
        </references>
      </pivotArea>
    </format>
    <format dxfId="934">
      <pivotArea dataOnly="0" labelOnly="1" fieldPosition="0">
        <references count="1">
          <reference field="6" count="1">
            <x v="2"/>
          </reference>
        </references>
      </pivotArea>
    </format>
    <format dxfId="935">
      <pivotArea collapsedLevelsAreSubtotals="1" fieldPosition="0">
        <references count="1">
          <reference field="6" count="1">
            <x v="2"/>
          </reference>
        </references>
      </pivotArea>
    </format>
    <format dxfId="936">
      <pivotArea collapsedLevelsAreSubtotals="1" fieldPosition="0">
        <references count="1">
          <reference field="6" count="1">
            <x v="2"/>
          </reference>
        </references>
      </pivotArea>
    </format>
    <format dxfId="937">
      <pivotArea collapsedLevelsAreSubtotals="1" fieldPosition="0">
        <references count="1">
          <reference field="6" count="1">
            <x v="2"/>
          </reference>
        </references>
      </pivotArea>
    </format>
    <format dxfId="938">
      <pivotArea collapsedLevelsAreSubtotals="1" fieldPosition="0">
        <references count="1">
          <reference field="6" count="1">
            <x v="2"/>
          </reference>
        </references>
      </pivotArea>
    </format>
    <format dxfId="939">
      <pivotArea collapsedLevelsAreSubtotals="1" fieldPosition="0">
        <references count="1">
          <reference field="6" count="1">
            <x v="2"/>
          </reference>
        </references>
      </pivotArea>
    </format>
    <format dxfId="940">
      <pivotArea collapsedLevelsAreSubtotals="1" fieldPosition="0">
        <references count="1">
          <reference field="6" count="1">
            <x v="2"/>
          </reference>
        </references>
      </pivotArea>
    </format>
    <format dxfId="941">
      <pivotArea dataOnly="0" labelOnly="1" fieldPosition="0">
        <references count="1">
          <reference field="6" count="1">
            <x v="2"/>
          </reference>
        </references>
      </pivotArea>
    </format>
    <format dxfId="942">
      <pivotArea dataOnly="0" labelOnly="1" fieldPosition="0">
        <references count="1">
          <reference field="6" count="1">
            <x v="9"/>
          </reference>
        </references>
      </pivotArea>
    </format>
    <format dxfId="943">
      <pivotArea dataOnly="0" labelOnly="1" fieldPosition="0">
        <references count="1">
          <reference field="6" count="1">
            <x v="9"/>
          </reference>
        </references>
      </pivotArea>
    </format>
    <format dxfId="944">
      <pivotArea dataOnly="0" labelOnly="1" fieldPosition="0">
        <references count="1">
          <reference field="6" count="1">
            <x v="9"/>
          </reference>
        </references>
      </pivotArea>
    </format>
    <format dxfId="945">
      <pivotArea dataOnly="0" labelOnly="1" fieldPosition="0">
        <references count="1">
          <reference field="6" count="1">
            <x v="9"/>
          </reference>
        </references>
      </pivotArea>
    </format>
    <format dxfId="946">
      <pivotArea dataOnly="0" labelOnly="1" fieldPosition="0">
        <references count="1">
          <reference field="6" count="1">
            <x v="9"/>
          </reference>
        </references>
      </pivotArea>
    </format>
    <format dxfId="947">
      <pivotArea dataOnly="0" labelOnly="1" fieldPosition="0">
        <references count="1">
          <reference field="6" count="1">
            <x v="9"/>
          </reference>
        </references>
      </pivotArea>
    </format>
    <format dxfId="948">
      <pivotArea collapsedLevelsAreSubtotals="1" fieldPosition="0">
        <references count="1">
          <reference field="6" count="1">
            <x v="9"/>
          </reference>
        </references>
      </pivotArea>
    </format>
    <format dxfId="949">
      <pivotArea collapsedLevelsAreSubtotals="1" fieldPosition="0">
        <references count="1">
          <reference field="6" count="1">
            <x v="9"/>
          </reference>
        </references>
      </pivotArea>
    </format>
    <format dxfId="950">
      <pivotArea collapsedLevelsAreSubtotals="1" fieldPosition="0">
        <references count="1">
          <reference field="6" count="1">
            <x v="9"/>
          </reference>
        </references>
      </pivotArea>
    </format>
    <format dxfId="951">
      <pivotArea collapsedLevelsAreSubtotals="1" fieldPosition="0">
        <references count="1">
          <reference field="6" count="1">
            <x v="9"/>
          </reference>
        </references>
      </pivotArea>
    </format>
    <format dxfId="952">
      <pivotArea collapsedLevelsAreSubtotals="1" fieldPosition="0">
        <references count="1">
          <reference field="6" count="1">
            <x v="9"/>
          </reference>
        </references>
      </pivotArea>
    </format>
    <format dxfId="953">
      <pivotArea collapsedLevelsAreSubtotals="1" fieldPosition="0">
        <references count="1">
          <reference field="6" count="1">
            <x v="9"/>
          </reference>
        </references>
      </pivotArea>
    </format>
    <format dxfId="954">
      <pivotArea dataOnly="0" labelOnly="1" fieldPosition="0">
        <references count="1">
          <reference field="6" count="1">
            <x v="9"/>
          </reference>
        </references>
      </pivotArea>
    </format>
    <format dxfId="955">
      <pivotArea dataOnly="0" labelOnly="1" fieldPosition="0">
        <references count="1">
          <reference field="6" count="1">
            <x v="8"/>
          </reference>
        </references>
      </pivotArea>
    </format>
    <format dxfId="956">
      <pivotArea dataOnly="0" labelOnly="1" fieldPosition="0">
        <references count="1">
          <reference field="6" count="1">
            <x v="8"/>
          </reference>
        </references>
      </pivotArea>
    </format>
    <format dxfId="957">
      <pivotArea dataOnly="0" labelOnly="1" fieldPosition="0">
        <references count="1">
          <reference field="6" count="1">
            <x v="8"/>
          </reference>
        </references>
      </pivotArea>
    </format>
    <format dxfId="958">
      <pivotArea dataOnly="0" labelOnly="1" fieldPosition="0">
        <references count="1">
          <reference field="6" count="1">
            <x v="8"/>
          </reference>
        </references>
      </pivotArea>
    </format>
    <format dxfId="959">
      <pivotArea dataOnly="0" labelOnly="1" fieldPosition="0">
        <references count="1">
          <reference field="6" count="1">
            <x v="8"/>
          </reference>
        </references>
      </pivotArea>
    </format>
    <format dxfId="960">
      <pivotArea dataOnly="0" labelOnly="1" fieldPosition="0">
        <references count="1">
          <reference field="6" count="1">
            <x v="8"/>
          </reference>
        </references>
      </pivotArea>
    </format>
    <format dxfId="961">
      <pivotArea collapsedLevelsAreSubtotals="1" fieldPosition="0">
        <references count="1">
          <reference field="6" count="1">
            <x v="8"/>
          </reference>
        </references>
      </pivotArea>
    </format>
    <format dxfId="962">
      <pivotArea collapsedLevelsAreSubtotals="1" fieldPosition="0">
        <references count="1">
          <reference field="6" count="1">
            <x v="8"/>
          </reference>
        </references>
      </pivotArea>
    </format>
    <format dxfId="963">
      <pivotArea collapsedLevelsAreSubtotals="1" fieldPosition="0">
        <references count="1">
          <reference field="6" count="1">
            <x v="8"/>
          </reference>
        </references>
      </pivotArea>
    </format>
    <format dxfId="964">
      <pivotArea collapsedLevelsAreSubtotals="1" fieldPosition="0">
        <references count="1">
          <reference field="6" count="1">
            <x v="8"/>
          </reference>
        </references>
      </pivotArea>
    </format>
    <format dxfId="965">
      <pivotArea collapsedLevelsAreSubtotals="1" fieldPosition="0">
        <references count="1">
          <reference field="6" count="1">
            <x v="8"/>
          </reference>
        </references>
      </pivotArea>
    </format>
    <format dxfId="966">
      <pivotArea collapsedLevelsAreSubtotals="1" fieldPosition="0">
        <references count="1">
          <reference field="6" count="1">
            <x v="8"/>
          </reference>
        </references>
      </pivotArea>
    </format>
    <format dxfId="967">
      <pivotArea dataOnly="0" labelOnly="1" fieldPosition="0">
        <references count="1">
          <reference field="6" count="1">
            <x v="8"/>
          </reference>
        </references>
      </pivotArea>
    </format>
    <format dxfId="968">
      <pivotArea dataOnly="0" labelOnly="1" fieldPosition="0">
        <references count="1">
          <reference field="6" count="1">
            <x v="16"/>
          </reference>
        </references>
      </pivotArea>
    </format>
    <format dxfId="969">
      <pivotArea dataOnly="0" labelOnly="1" fieldPosition="0">
        <references count="1">
          <reference field="6" count="1">
            <x v="16"/>
          </reference>
        </references>
      </pivotArea>
    </format>
    <format dxfId="970">
      <pivotArea dataOnly="0" labelOnly="1" fieldPosition="0">
        <references count="1">
          <reference field="6" count="1">
            <x v="16"/>
          </reference>
        </references>
      </pivotArea>
    </format>
    <format dxfId="971">
      <pivotArea dataOnly="0" labelOnly="1" fieldPosition="0">
        <references count="1">
          <reference field="6" count="1">
            <x v="16"/>
          </reference>
        </references>
      </pivotArea>
    </format>
    <format dxfId="972">
      <pivotArea dataOnly="0" labelOnly="1" fieldPosition="0">
        <references count="1">
          <reference field="6" count="1">
            <x v="16"/>
          </reference>
        </references>
      </pivotArea>
    </format>
    <format dxfId="973">
      <pivotArea dataOnly="0" labelOnly="1" fieldPosition="0">
        <references count="1">
          <reference field="6" count="1">
            <x v="16"/>
          </reference>
        </references>
      </pivotArea>
    </format>
    <format dxfId="974">
      <pivotArea collapsedLevelsAreSubtotals="1" fieldPosition="0">
        <references count="1">
          <reference field="6" count="1">
            <x v="16"/>
          </reference>
        </references>
      </pivotArea>
    </format>
    <format dxfId="975">
      <pivotArea collapsedLevelsAreSubtotals="1" fieldPosition="0">
        <references count="1">
          <reference field="6" count="1">
            <x v="16"/>
          </reference>
        </references>
      </pivotArea>
    </format>
    <format dxfId="976">
      <pivotArea collapsedLevelsAreSubtotals="1" fieldPosition="0">
        <references count="1">
          <reference field="6" count="1">
            <x v="16"/>
          </reference>
        </references>
      </pivotArea>
    </format>
    <format dxfId="977">
      <pivotArea collapsedLevelsAreSubtotals="1" fieldPosition="0">
        <references count="1">
          <reference field="6" count="1">
            <x v="16"/>
          </reference>
        </references>
      </pivotArea>
    </format>
    <format dxfId="978">
      <pivotArea collapsedLevelsAreSubtotals="1" fieldPosition="0">
        <references count="1">
          <reference field="6" count="1">
            <x v="16"/>
          </reference>
        </references>
      </pivotArea>
    </format>
    <format dxfId="979">
      <pivotArea collapsedLevelsAreSubtotals="1" fieldPosition="0">
        <references count="1">
          <reference field="6" count="1">
            <x v="16"/>
          </reference>
        </references>
      </pivotArea>
    </format>
    <format dxfId="980">
      <pivotArea dataOnly="0" labelOnly="1" fieldPosition="0">
        <references count="1">
          <reference field="6" count="1">
            <x v="16"/>
          </reference>
        </references>
      </pivotArea>
    </format>
    <format dxfId="981">
      <pivotArea dataOnly="0" labelOnly="1" fieldPosition="0">
        <references count="1">
          <reference field="6" count="1">
            <x v="14"/>
          </reference>
        </references>
      </pivotArea>
    </format>
    <format dxfId="982">
      <pivotArea dataOnly="0" labelOnly="1" fieldPosition="0">
        <references count="1">
          <reference field="6" count="1">
            <x v="14"/>
          </reference>
        </references>
      </pivotArea>
    </format>
    <format dxfId="983">
      <pivotArea dataOnly="0" labelOnly="1" fieldPosition="0">
        <references count="1">
          <reference field="6" count="1">
            <x v="14"/>
          </reference>
        </references>
      </pivotArea>
    </format>
    <format dxfId="984">
      <pivotArea dataOnly="0" labelOnly="1" fieldPosition="0">
        <references count="1">
          <reference field="6" count="1">
            <x v="14"/>
          </reference>
        </references>
      </pivotArea>
    </format>
    <format dxfId="985">
      <pivotArea dataOnly="0" labelOnly="1" fieldPosition="0">
        <references count="1">
          <reference field="6" count="1">
            <x v="14"/>
          </reference>
        </references>
      </pivotArea>
    </format>
    <format dxfId="986">
      <pivotArea dataOnly="0" labelOnly="1" fieldPosition="0">
        <references count="1">
          <reference field="6" count="1">
            <x v="14"/>
          </reference>
        </references>
      </pivotArea>
    </format>
    <format dxfId="987">
      <pivotArea collapsedLevelsAreSubtotals="1" fieldPosition="0">
        <references count="1">
          <reference field="6" count="1">
            <x v="14"/>
          </reference>
        </references>
      </pivotArea>
    </format>
    <format dxfId="988">
      <pivotArea collapsedLevelsAreSubtotals="1" fieldPosition="0">
        <references count="1">
          <reference field="6" count="1">
            <x v="14"/>
          </reference>
        </references>
      </pivotArea>
    </format>
    <format dxfId="989">
      <pivotArea collapsedLevelsAreSubtotals="1" fieldPosition="0">
        <references count="1">
          <reference field="6" count="1">
            <x v="14"/>
          </reference>
        </references>
      </pivotArea>
    </format>
    <format dxfId="990">
      <pivotArea collapsedLevelsAreSubtotals="1" fieldPosition="0">
        <references count="1">
          <reference field="6" count="1">
            <x v="14"/>
          </reference>
        </references>
      </pivotArea>
    </format>
    <format dxfId="991">
      <pivotArea collapsedLevelsAreSubtotals="1" fieldPosition="0">
        <references count="1">
          <reference field="6" count="1">
            <x v="14"/>
          </reference>
        </references>
      </pivotArea>
    </format>
    <format dxfId="992">
      <pivotArea collapsedLevelsAreSubtotals="1" fieldPosition="0">
        <references count="1">
          <reference field="6" count="1">
            <x v="14"/>
          </reference>
        </references>
      </pivotArea>
    </format>
    <format dxfId="993">
      <pivotArea dataOnly="0" labelOnly="1" fieldPosition="0">
        <references count="1">
          <reference field="6" count="1">
            <x v="14"/>
          </reference>
        </references>
      </pivotArea>
    </format>
    <format dxfId="994">
      <pivotArea dataOnly="0" labelOnly="1" fieldPosition="0">
        <references count="1">
          <reference field="6" count="1">
            <x v="19"/>
          </reference>
        </references>
      </pivotArea>
    </format>
    <format dxfId="995">
      <pivotArea dataOnly="0" labelOnly="1" fieldPosition="0">
        <references count="1">
          <reference field="6" count="1">
            <x v="19"/>
          </reference>
        </references>
      </pivotArea>
    </format>
    <format dxfId="996">
      <pivotArea dataOnly="0" labelOnly="1" fieldPosition="0">
        <references count="1">
          <reference field="6" count="1">
            <x v="19"/>
          </reference>
        </references>
      </pivotArea>
    </format>
    <format dxfId="997">
      <pivotArea dataOnly="0" labelOnly="1" fieldPosition="0">
        <references count="1">
          <reference field="6" count="1">
            <x v="19"/>
          </reference>
        </references>
      </pivotArea>
    </format>
    <format dxfId="998">
      <pivotArea dataOnly="0" labelOnly="1" fieldPosition="0">
        <references count="1">
          <reference field="6" count="1">
            <x v="19"/>
          </reference>
        </references>
      </pivotArea>
    </format>
    <format dxfId="999">
      <pivotArea dataOnly="0" labelOnly="1" fieldPosition="0">
        <references count="1">
          <reference field="6" count="1">
            <x v="19"/>
          </reference>
        </references>
      </pivotArea>
    </format>
    <format dxfId="1000">
      <pivotArea collapsedLevelsAreSubtotals="1" fieldPosition="0">
        <references count="1">
          <reference field="6" count="1">
            <x v="19"/>
          </reference>
        </references>
      </pivotArea>
    </format>
    <format dxfId="1001">
      <pivotArea collapsedLevelsAreSubtotals="1" fieldPosition="0">
        <references count="1">
          <reference field="6" count="1">
            <x v="19"/>
          </reference>
        </references>
      </pivotArea>
    </format>
    <format dxfId="1002">
      <pivotArea collapsedLevelsAreSubtotals="1" fieldPosition="0">
        <references count="1">
          <reference field="6" count="1">
            <x v="19"/>
          </reference>
        </references>
      </pivotArea>
    </format>
    <format dxfId="1003">
      <pivotArea collapsedLevelsAreSubtotals="1" fieldPosition="0">
        <references count="1">
          <reference field="6" count="1">
            <x v="19"/>
          </reference>
        </references>
      </pivotArea>
    </format>
    <format dxfId="1004">
      <pivotArea collapsedLevelsAreSubtotals="1" fieldPosition="0">
        <references count="1">
          <reference field="6" count="1">
            <x v="19"/>
          </reference>
        </references>
      </pivotArea>
    </format>
    <format dxfId="1005">
      <pivotArea collapsedLevelsAreSubtotals="1" fieldPosition="0">
        <references count="1">
          <reference field="6" count="1">
            <x v="19"/>
          </reference>
        </references>
      </pivotArea>
    </format>
    <format dxfId="1006">
      <pivotArea dataOnly="0" labelOnly="1" fieldPosition="0">
        <references count="1">
          <reference field="6" count="1">
            <x v="19"/>
          </reference>
        </references>
      </pivotArea>
    </format>
    <format dxfId="1007">
      <pivotArea dataOnly="0" labelOnly="1" fieldPosition="0">
        <references count="1">
          <reference field="6" count="1">
            <x v="6"/>
          </reference>
        </references>
      </pivotArea>
    </format>
    <format dxfId="1008">
      <pivotArea dataOnly="0" labelOnly="1" fieldPosition="0">
        <references count="1">
          <reference field="6" count="1">
            <x v="6"/>
          </reference>
        </references>
      </pivotArea>
    </format>
    <format dxfId="1009">
      <pivotArea dataOnly="0" labelOnly="1" fieldPosition="0">
        <references count="1">
          <reference field="6" count="1">
            <x v="6"/>
          </reference>
        </references>
      </pivotArea>
    </format>
    <format dxfId="1010">
      <pivotArea dataOnly="0" labelOnly="1" fieldPosition="0">
        <references count="1">
          <reference field="6" count="1">
            <x v="6"/>
          </reference>
        </references>
      </pivotArea>
    </format>
    <format dxfId="1011">
      <pivotArea dataOnly="0" labelOnly="1" fieldPosition="0">
        <references count="1">
          <reference field="6" count="1">
            <x v="6"/>
          </reference>
        </references>
      </pivotArea>
    </format>
    <format dxfId="1012">
      <pivotArea dataOnly="0" labelOnly="1" fieldPosition="0">
        <references count="1">
          <reference field="6" count="1">
            <x v="6"/>
          </reference>
        </references>
      </pivotArea>
    </format>
    <format dxfId="1013">
      <pivotArea collapsedLevelsAreSubtotals="1" fieldPosition="0">
        <references count="1">
          <reference field="6" count="1">
            <x v="6"/>
          </reference>
        </references>
      </pivotArea>
    </format>
    <format dxfId="1014">
      <pivotArea collapsedLevelsAreSubtotals="1" fieldPosition="0">
        <references count="1">
          <reference field="6" count="1">
            <x v="6"/>
          </reference>
        </references>
      </pivotArea>
    </format>
    <format dxfId="1015">
      <pivotArea collapsedLevelsAreSubtotals="1" fieldPosition="0">
        <references count="1">
          <reference field="6" count="1">
            <x v="6"/>
          </reference>
        </references>
      </pivotArea>
    </format>
    <format dxfId="1016">
      <pivotArea collapsedLevelsAreSubtotals="1" fieldPosition="0">
        <references count="1">
          <reference field="6" count="1">
            <x v="6"/>
          </reference>
        </references>
      </pivotArea>
    </format>
    <format dxfId="1017">
      <pivotArea collapsedLevelsAreSubtotals="1" fieldPosition="0">
        <references count="1">
          <reference field="6" count="1">
            <x v="6"/>
          </reference>
        </references>
      </pivotArea>
    </format>
    <format dxfId="1018">
      <pivotArea collapsedLevelsAreSubtotals="1" fieldPosition="0">
        <references count="1">
          <reference field="6" count="1">
            <x v="6"/>
          </reference>
        </references>
      </pivotArea>
    </format>
    <format dxfId="1019">
      <pivotArea dataOnly="0" labelOnly="1" fieldPosition="0">
        <references count="1">
          <reference field="6" count="1">
            <x v="6"/>
          </reference>
        </references>
      </pivotArea>
    </format>
    <format dxfId="1020">
      <pivotArea dataOnly="0" labelOnly="1" fieldPosition="0">
        <references count="1">
          <reference field="6" count="1">
            <x v="12"/>
          </reference>
        </references>
      </pivotArea>
    </format>
    <format dxfId="1021">
      <pivotArea dataOnly="0" labelOnly="1" fieldPosition="0">
        <references count="1">
          <reference field="6" count="1">
            <x v="12"/>
          </reference>
        </references>
      </pivotArea>
    </format>
    <format dxfId="1022">
      <pivotArea dataOnly="0" labelOnly="1" fieldPosition="0">
        <references count="1">
          <reference field="6" count="1">
            <x v="12"/>
          </reference>
        </references>
      </pivotArea>
    </format>
    <format dxfId="1023">
      <pivotArea dataOnly="0" labelOnly="1" fieldPosition="0">
        <references count="1">
          <reference field="6" count="1">
            <x v="12"/>
          </reference>
        </references>
      </pivotArea>
    </format>
    <format dxfId="1024">
      <pivotArea dataOnly="0" labelOnly="1" fieldPosition="0">
        <references count="1">
          <reference field="6" count="1">
            <x v="12"/>
          </reference>
        </references>
      </pivotArea>
    </format>
    <format dxfId="1025">
      <pivotArea dataOnly="0" labelOnly="1" fieldPosition="0">
        <references count="1">
          <reference field="6" count="1">
            <x v="12"/>
          </reference>
        </references>
      </pivotArea>
    </format>
    <format dxfId="1026">
      <pivotArea collapsedLevelsAreSubtotals="1" fieldPosition="0">
        <references count="1">
          <reference field="6" count="1">
            <x v="12"/>
          </reference>
        </references>
      </pivotArea>
    </format>
    <format dxfId="1027">
      <pivotArea collapsedLevelsAreSubtotals="1" fieldPosition="0">
        <references count="1">
          <reference field="6" count="1">
            <x v="12"/>
          </reference>
        </references>
      </pivotArea>
    </format>
    <format dxfId="1028">
      <pivotArea collapsedLevelsAreSubtotals="1" fieldPosition="0">
        <references count="1">
          <reference field="6" count="1">
            <x v="12"/>
          </reference>
        </references>
      </pivotArea>
    </format>
    <format dxfId="1029">
      <pivotArea collapsedLevelsAreSubtotals="1" fieldPosition="0">
        <references count="1">
          <reference field="6" count="1">
            <x v="12"/>
          </reference>
        </references>
      </pivotArea>
    </format>
    <format dxfId="1030">
      <pivotArea collapsedLevelsAreSubtotals="1" fieldPosition="0">
        <references count="1">
          <reference field="6" count="1">
            <x v="12"/>
          </reference>
        </references>
      </pivotArea>
    </format>
    <format dxfId="1031">
      <pivotArea collapsedLevelsAreSubtotals="1" fieldPosition="0">
        <references count="1">
          <reference field="6" count="1">
            <x v="12"/>
          </reference>
        </references>
      </pivotArea>
    </format>
    <format dxfId="1032">
      <pivotArea dataOnly="0" labelOnly="1" fieldPosition="0">
        <references count="1">
          <reference field="6" count="1">
            <x v="12"/>
          </reference>
        </references>
      </pivotArea>
    </format>
    <format dxfId="1033">
      <pivotArea dataOnly="0" labelOnly="1" fieldPosition="0">
        <references count="1">
          <reference field="6" count="1">
            <x v="17"/>
          </reference>
        </references>
      </pivotArea>
    </format>
    <format dxfId="1034">
      <pivotArea dataOnly="0" labelOnly="1" fieldPosition="0">
        <references count="1">
          <reference field="6" count="1">
            <x v="17"/>
          </reference>
        </references>
      </pivotArea>
    </format>
    <format dxfId="1035">
      <pivotArea dataOnly="0" labelOnly="1" fieldPosition="0">
        <references count="1">
          <reference field="6" count="1">
            <x v="17"/>
          </reference>
        </references>
      </pivotArea>
    </format>
    <format dxfId="1036">
      <pivotArea dataOnly="0" labelOnly="1" fieldPosition="0">
        <references count="1">
          <reference field="6" count="1">
            <x v="17"/>
          </reference>
        </references>
      </pivotArea>
    </format>
    <format dxfId="1037">
      <pivotArea dataOnly="0" labelOnly="1" fieldPosition="0">
        <references count="1">
          <reference field="6" count="1">
            <x v="17"/>
          </reference>
        </references>
      </pivotArea>
    </format>
    <format dxfId="1038">
      <pivotArea dataOnly="0" labelOnly="1" fieldPosition="0">
        <references count="1">
          <reference field="6" count="1">
            <x v="17"/>
          </reference>
        </references>
      </pivotArea>
    </format>
    <format dxfId="1039">
      <pivotArea collapsedLevelsAreSubtotals="1" fieldPosition="0">
        <references count="1">
          <reference field="6" count="1">
            <x v="17"/>
          </reference>
        </references>
      </pivotArea>
    </format>
    <format dxfId="1040">
      <pivotArea collapsedLevelsAreSubtotals="1" fieldPosition="0">
        <references count="1">
          <reference field="6" count="1">
            <x v="17"/>
          </reference>
        </references>
      </pivotArea>
    </format>
    <format dxfId="1041">
      <pivotArea collapsedLevelsAreSubtotals="1" fieldPosition="0">
        <references count="1">
          <reference field="6" count="1">
            <x v="17"/>
          </reference>
        </references>
      </pivotArea>
    </format>
    <format dxfId="1042">
      <pivotArea collapsedLevelsAreSubtotals="1" fieldPosition="0">
        <references count="1">
          <reference field="6" count="1">
            <x v="17"/>
          </reference>
        </references>
      </pivotArea>
    </format>
    <format dxfId="1043">
      <pivotArea collapsedLevelsAreSubtotals="1" fieldPosition="0">
        <references count="1">
          <reference field="6" count="1">
            <x v="17"/>
          </reference>
        </references>
      </pivotArea>
    </format>
    <format dxfId="1044">
      <pivotArea collapsedLevelsAreSubtotals="1" fieldPosition="0">
        <references count="1">
          <reference field="6" count="1">
            <x v="17"/>
          </reference>
        </references>
      </pivotArea>
    </format>
    <format dxfId="1045">
      <pivotArea dataOnly="0" labelOnly="1" fieldPosition="0">
        <references count="1">
          <reference field="6" count="1">
            <x v="17"/>
          </reference>
        </references>
      </pivotArea>
    </format>
    <format dxfId="1046">
      <pivotArea dataOnly="0" labelOnly="1" fieldPosition="0">
        <references count="1">
          <reference field="6" count="1">
            <x v="13"/>
          </reference>
        </references>
      </pivotArea>
    </format>
    <format dxfId="1047">
      <pivotArea dataOnly="0" labelOnly="1" fieldPosition="0">
        <references count="1">
          <reference field="6" count="1">
            <x v="13"/>
          </reference>
        </references>
      </pivotArea>
    </format>
    <format dxfId="1048">
      <pivotArea dataOnly="0" labelOnly="1" fieldPosition="0">
        <references count="1">
          <reference field="6" count="1">
            <x v="13"/>
          </reference>
        </references>
      </pivotArea>
    </format>
    <format dxfId="1049">
      <pivotArea dataOnly="0" labelOnly="1" fieldPosition="0">
        <references count="1">
          <reference field="6" count="1">
            <x v="13"/>
          </reference>
        </references>
      </pivotArea>
    </format>
    <format dxfId="1050">
      <pivotArea dataOnly="0" labelOnly="1" fieldPosition="0">
        <references count="1">
          <reference field="6" count="1">
            <x v="13"/>
          </reference>
        </references>
      </pivotArea>
    </format>
    <format dxfId="1051">
      <pivotArea dataOnly="0" labelOnly="1" fieldPosition="0">
        <references count="1">
          <reference field="6" count="1">
            <x v="13"/>
          </reference>
        </references>
      </pivotArea>
    </format>
    <format dxfId="1052">
      <pivotArea collapsedLevelsAreSubtotals="1" fieldPosition="0">
        <references count="1">
          <reference field="6" count="1">
            <x v="13"/>
          </reference>
        </references>
      </pivotArea>
    </format>
    <format dxfId="1053">
      <pivotArea collapsedLevelsAreSubtotals="1" fieldPosition="0">
        <references count="1">
          <reference field="6" count="1">
            <x v="13"/>
          </reference>
        </references>
      </pivotArea>
    </format>
    <format dxfId="1054">
      <pivotArea collapsedLevelsAreSubtotals="1" fieldPosition="0">
        <references count="1">
          <reference field="6" count="1">
            <x v="13"/>
          </reference>
        </references>
      </pivotArea>
    </format>
    <format dxfId="1055">
      <pivotArea collapsedLevelsAreSubtotals="1" fieldPosition="0">
        <references count="1">
          <reference field="6" count="1">
            <x v="13"/>
          </reference>
        </references>
      </pivotArea>
    </format>
    <format dxfId="1056">
      <pivotArea collapsedLevelsAreSubtotals="1" fieldPosition="0">
        <references count="1">
          <reference field="6" count="1">
            <x v="13"/>
          </reference>
        </references>
      </pivotArea>
    </format>
    <format dxfId="1057">
      <pivotArea collapsedLevelsAreSubtotals="1" fieldPosition="0">
        <references count="1">
          <reference field="6" count="1">
            <x v="13"/>
          </reference>
        </references>
      </pivotArea>
    </format>
    <format dxfId="1058">
      <pivotArea dataOnly="0" labelOnly="1" fieldPosition="0">
        <references count="1">
          <reference field="6" count="1">
            <x v="13"/>
          </reference>
        </references>
      </pivotArea>
    </format>
    <format dxfId="1059">
      <pivotArea dataOnly="0" labelOnly="1" fieldPosition="0">
        <references count="1">
          <reference field="6" count="1">
            <x v="18"/>
          </reference>
        </references>
      </pivotArea>
    </format>
    <format dxfId="1060">
      <pivotArea dataOnly="0" labelOnly="1" fieldPosition="0">
        <references count="1">
          <reference field="6" count="1">
            <x v="18"/>
          </reference>
        </references>
      </pivotArea>
    </format>
    <format dxfId="1061">
      <pivotArea dataOnly="0" labelOnly="1" fieldPosition="0">
        <references count="1">
          <reference field="6" count="1">
            <x v="18"/>
          </reference>
        </references>
      </pivotArea>
    </format>
    <format dxfId="1062">
      <pivotArea dataOnly="0" labelOnly="1" fieldPosition="0">
        <references count="1">
          <reference field="6" count="1">
            <x v="18"/>
          </reference>
        </references>
      </pivotArea>
    </format>
    <format dxfId="1063">
      <pivotArea dataOnly="0" labelOnly="1" fieldPosition="0">
        <references count="1">
          <reference field="6" count="1">
            <x v="18"/>
          </reference>
        </references>
      </pivotArea>
    </format>
    <format dxfId="1064">
      <pivotArea dataOnly="0" labelOnly="1" fieldPosition="0">
        <references count="1">
          <reference field="6" count="1">
            <x v="18"/>
          </reference>
        </references>
      </pivotArea>
    </format>
    <format dxfId="1065">
      <pivotArea collapsedLevelsAreSubtotals="1" fieldPosition="0">
        <references count="1">
          <reference field="6" count="1">
            <x v="18"/>
          </reference>
        </references>
      </pivotArea>
    </format>
    <format dxfId="1066">
      <pivotArea collapsedLevelsAreSubtotals="1" fieldPosition="0">
        <references count="1">
          <reference field="6" count="1">
            <x v="18"/>
          </reference>
        </references>
      </pivotArea>
    </format>
    <format dxfId="1067">
      <pivotArea collapsedLevelsAreSubtotals="1" fieldPosition="0">
        <references count="1">
          <reference field="6" count="1">
            <x v="18"/>
          </reference>
        </references>
      </pivotArea>
    </format>
    <format dxfId="1068">
      <pivotArea collapsedLevelsAreSubtotals="1" fieldPosition="0">
        <references count="1">
          <reference field="6" count="1">
            <x v="18"/>
          </reference>
        </references>
      </pivotArea>
    </format>
    <format dxfId="1069">
      <pivotArea collapsedLevelsAreSubtotals="1" fieldPosition="0">
        <references count="1">
          <reference field="6" count="1">
            <x v="18"/>
          </reference>
        </references>
      </pivotArea>
    </format>
    <format dxfId="1070">
      <pivotArea collapsedLevelsAreSubtotals="1" fieldPosition="0">
        <references count="1">
          <reference field="6" count="1">
            <x v="18"/>
          </reference>
        </references>
      </pivotArea>
    </format>
    <format dxfId="1071">
      <pivotArea dataOnly="0" labelOnly="1" fieldPosition="0">
        <references count="1">
          <reference field="6" count="1">
            <x v="18"/>
          </reference>
        </references>
      </pivotArea>
    </format>
    <format dxfId="1072">
      <pivotArea dataOnly="0" labelOnly="1" fieldPosition="0">
        <references count="1">
          <reference field="6" count="1">
            <x v="20"/>
          </reference>
        </references>
      </pivotArea>
    </format>
    <format dxfId="1073">
      <pivotArea dataOnly="0" labelOnly="1" fieldPosition="0">
        <references count="1">
          <reference field="6" count="1">
            <x v="20"/>
          </reference>
        </references>
      </pivotArea>
    </format>
    <format dxfId="1074">
      <pivotArea dataOnly="0" labelOnly="1" fieldPosition="0">
        <references count="1">
          <reference field="6" count="1">
            <x v="20"/>
          </reference>
        </references>
      </pivotArea>
    </format>
    <format dxfId="1075">
      <pivotArea dataOnly="0" labelOnly="1" fieldPosition="0">
        <references count="1">
          <reference field="6" count="1">
            <x v="20"/>
          </reference>
        </references>
      </pivotArea>
    </format>
    <format dxfId="1076">
      <pivotArea dataOnly="0" labelOnly="1" fieldPosition="0">
        <references count="1">
          <reference field="6" count="1">
            <x v="20"/>
          </reference>
        </references>
      </pivotArea>
    </format>
    <format dxfId="1077">
      <pivotArea dataOnly="0" labelOnly="1" fieldPosition="0">
        <references count="1">
          <reference field="6" count="1">
            <x v="20"/>
          </reference>
        </references>
      </pivotArea>
    </format>
    <format dxfId="1078">
      <pivotArea collapsedLevelsAreSubtotals="1" fieldPosition="0">
        <references count="1">
          <reference field="6" count="1">
            <x v="20"/>
          </reference>
        </references>
      </pivotArea>
    </format>
    <format dxfId="1079">
      <pivotArea collapsedLevelsAreSubtotals="1" fieldPosition="0">
        <references count="1">
          <reference field="6" count="1">
            <x v="20"/>
          </reference>
        </references>
      </pivotArea>
    </format>
    <format dxfId="1080">
      <pivotArea collapsedLevelsAreSubtotals="1" fieldPosition="0">
        <references count="1">
          <reference field="6" count="1">
            <x v="20"/>
          </reference>
        </references>
      </pivotArea>
    </format>
    <format dxfId="1081">
      <pivotArea collapsedLevelsAreSubtotals="1" fieldPosition="0">
        <references count="1">
          <reference field="6" count="1">
            <x v="20"/>
          </reference>
        </references>
      </pivotArea>
    </format>
    <format dxfId="1082">
      <pivotArea collapsedLevelsAreSubtotals="1" fieldPosition="0">
        <references count="1">
          <reference field="6" count="1">
            <x v="20"/>
          </reference>
        </references>
      </pivotArea>
    </format>
    <format dxfId="1083">
      <pivotArea collapsedLevelsAreSubtotals="1" fieldPosition="0">
        <references count="1">
          <reference field="6" count="1">
            <x v="20"/>
          </reference>
        </references>
      </pivotArea>
    </format>
    <format dxfId="1084">
      <pivotArea dataOnly="0" labelOnly="1" fieldPosition="0">
        <references count="1">
          <reference field="6" count="1">
            <x v="20"/>
          </reference>
        </references>
      </pivotArea>
    </format>
    <format dxfId="1085">
      <pivotArea dataOnly="0" labelOnly="1" fieldPosition="0">
        <references count="1">
          <reference field="6" count="1">
            <x v="11"/>
          </reference>
        </references>
      </pivotArea>
    </format>
    <format dxfId="1086">
      <pivotArea dataOnly="0" labelOnly="1" fieldPosition="0">
        <references count="1">
          <reference field="6" count="1">
            <x v="11"/>
          </reference>
        </references>
      </pivotArea>
    </format>
    <format dxfId="1087">
      <pivotArea dataOnly="0" labelOnly="1" fieldPosition="0">
        <references count="1">
          <reference field="6" count="1">
            <x v="11"/>
          </reference>
        </references>
      </pivotArea>
    </format>
    <format dxfId="1088">
      <pivotArea dataOnly="0" labelOnly="1" fieldPosition="0">
        <references count="1">
          <reference field="6" count="1">
            <x v="11"/>
          </reference>
        </references>
      </pivotArea>
    </format>
    <format dxfId="1089">
      <pivotArea dataOnly="0" labelOnly="1" fieldPosition="0">
        <references count="1">
          <reference field="6" count="1">
            <x v="11"/>
          </reference>
        </references>
      </pivotArea>
    </format>
    <format dxfId="1090">
      <pivotArea dataOnly="0" labelOnly="1" fieldPosition="0">
        <references count="1">
          <reference field="6" count="1">
            <x v="11"/>
          </reference>
        </references>
      </pivotArea>
    </format>
    <format dxfId="1091">
      <pivotArea collapsedLevelsAreSubtotals="1" fieldPosition="0">
        <references count="1">
          <reference field="6" count="1">
            <x v="11"/>
          </reference>
        </references>
      </pivotArea>
    </format>
    <format dxfId="1092">
      <pivotArea collapsedLevelsAreSubtotals="1" fieldPosition="0">
        <references count="1">
          <reference field="6" count="1">
            <x v="11"/>
          </reference>
        </references>
      </pivotArea>
    </format>
    <format dxfId="1093">
      <pivotArea collapsedLevelsAreSubtotals="1" fieldPosition="0">
        <references count="1">
          <reference field="6" count="1">
            <x v="11"/>
          </reference>
        </references>
      </pivotArea>
    </format>
    <format dxfId="1094">
      <pivotArea collapsedLevelsAreSubtotals="1" fieldPosition="0">
        <references count="1">
          <reference field="6" count="1">
            <x v="11"/>
          </reference>
        </references>
      </pivotArea>
    </format>
    <format dxfId="1095">
      <pivotArea collapsedLevelsAreSubtotals="1" fieldPosition="0">
        <references count="1">
          <reference field="6" count="1">
            <x v="11"/>
          </reference>
        </references>
      </pivotArea>
    </format>
    <format dxfId="1096">
      <pivotArea collapsedLevelsAreSubtotals="1" fieldPosition="0">
        <references count="1">
          <reference field="6" count="1">
            <x v="11"/>
          </reference>
        </references>
      </pivotArea>
    </format>
    <format dxfId="1097">
      <pivotArea dataOnly="0" labelOnly="1" fieldPosition="0">
        <references count="1">
          <reference field="6" count="1">
            <x v="11"/>
          </reference>
        </references>
      </pivotArea>
    </format>
    <format dxfId="1098">
      <pivotArea dataOnly="0" labelOnly="1" fieldPosition="0">
        <references count="1">
          <reference field="6" count="1">
            <x v="10"/>
          </reference>
        </references>
      </pivotArea>
    </format>
    <format dxfId="1099">
      <pivotArea dataOnly="0" labelOnly="1" fieldPosition="0">
        <references count="1">
          <reference field="6" count="1">
            <x v="10"/>
          </reference>
        </references>
      </pivotArea>
    </format>
    <format dxfId="1100">
      <pivotArea dataOnly="0" labelOnly="1" fieldPosition="0">
        <references count="1">
          <reference field="6" count="1">
            <x v="10"/>
          </reference>
        </references>
      </pivotArea>
    </format>
    <format dxfId="1101">
      <pivotArea dataOnly="0" labelOnly="1" fieldPosition="0">
        <references count="1">
          <reference field="6" count="1">
            <x v="10"/>
          </reference>
        </references>
      </pivotArea>
    </format>
    <format dxfId="1102">
      <pivotArea dataOnly="0" labelOnly="1" fieldPosition="0">
        <references count="1">
          <reference field="6" count="1">
            <x v="10"/>
          </reference>
        </references>
      </pivotArea>
    </format>
    <format dxfId="1103">
      <pivotArea dataOnly="0" labelOnly="1" fieldPosition="0">
        <references count="1">
          <reference field="6" count="1">
            <x v="10"/>
          </reference>
        </references>
      </pivotArea>
    </format>
    <format dxfId="1104">
      <pivotArea collapsedLevelsAreSubtotals="1" fieldPosition="0">
        <references count="1">
          <reference field="6" count="1">
            <x v="10"/>
          </reference>
        </references>
      </pivotArea>
    </format>
    <format dxfId="1105">
      <pivotArea collapsedLevelsAreSubtotals="1" fieldPosition="0">
        <references count="1">
          <reference field="6" count="1">
            <x v="10"/>
          </reference>
        </references>
      </pivotArea>
    </format>
    <format dxfId="1106">
      <pivotArea collapsedLevelsAreSubtotals="1" fieldPosition="0">
        <references count="1">
          <reference field="6" count="1">
            <x v="10"/>
          </reference>
        </references>
      </pivotArea>
    </format>
    <format dxfId="1107">
      <pivotArea collapsedLevelsAreSubtotals="1" fieldPosition="0">
        <references count="1">
          <reference field="6" count="1">
            <x v="10"/>
          </reference>
        </references>
      </pivotArea>
    </format>
    <format dxfId="1108">
      <pivotArea collapsedLevelsAreSubtotals="1" fieldPosition="0">
        <references count="1">
          <reference field="6" count="1">
            <x v="10"/>
          </reference>
        </references>
      </pivotArea>
    </format>
    <format dxfId="1109">
      <pivotArea collapsedLevelsAreSubtotals="1" fieldPosition="0">
        <references count="1">
          <reference field="6" count="1">
            <x v="10"/>
          </reference>
        </references>
      </pivotArea>
    </format>
    <format dxfId="1110">
      <pivotArea dataOnly="0" labelOnly="1" fieldPosition="0">
        <references count="1">
          <reference field="6" count="1">
            <x v="10"/>
          </reference>
        </references>
      </pivotArea>
    </format>
    <format dxfId="1111">
      <pivotArea grandRow="1" outline="0" collapsedLevelsAreSubtotals="1" fieldPosition="0"/>
    </format>
    <format dxfId="1112">
      <pivotArea dataOnly="0" labelOnly="1" grandRow="1" outline="0" fieldPosition="0"/>
    </format>
    <format dxfId="1113">
      <pivotArea grandRow="1" outline="0" collapsedLevelsAreSubtotals="1" fieldPosition="0"/>
    </format>
    <format dxfId="1114">
      <pivotArea dataOnly="0" labelOnly="1" grandRow="1" outline="0" fieldPosition="0"/>
    </format>
    <format dxfId="1115">
      <pivotArea grandRow="1" outline="0" collapsedLevelsAreSubtotals="1" fieldPosition="0"/>
    </format>
    <format dxfId="1116">
      <pivotArea dataOnly="0" labelOnly="1" grandRow="1" outline="0" fieldPosition="0"/>
    </format>
    <format dxfId="1117">
      <pivotArea grandRow="1" outline="0" collapsedLevelsAreSubtotals="1" fieldPosition="0"/>
    </format>
    <format dxfId="1118">
      <pivotArea dataOnly="0" labelOnly="1" grandRow="1" outline="0" fieldPosition="0"/>
    </format>
    <format dxfId="1119">
      <pivotArea grandRow="1" outline="0" collapsedLevelsAreSubtotals="1" fieldPosition="0"/>
    </format>
    <format dxfId="1120">
      <pivotArea dataOnly="0" labelOnly="1" grandRow="1" outline="0" fieldPosition="0"/>
    </format>
    <format dxfId="1121">
      <pivotArea dataOnly="0" labelOnly="1" grandRow="1" outline="0" fieldPosition="0"/>
    </format>
    <format dxfId="1122">
      <pivotArea grandRow="1" outline="0" collapsedLevelsAreSubtotals="1" fieldPosition="0"/>
    </format>
    <format dxfId="1123">
      <pivotArea type="all" dataOnly="0" outline="0" fieldPosition="0"/>
    </format>
    <format dxfId="1124">
      <pivotArea outline="0" collapsedLevelsAreSubtotals="1" fieldPosition="0"/>
    </format>
    <format dxfId="1125">
      <pivotArea dataOnly="0" labelOnly="1" fieldPosition="0">
        <references count="1">
          <reference field="6" count="0"/>
        </references>
      </pivotArea>
    </format>
    <format dxfId="1126">
      <pivotArea field="6" type="button" dataOnly="0" labelOnly="1" outline="0" axis="axisRow" fieldPosition="0"/>
    </format>
    <format dxfId="1127">
      <pivotArea dataOnly="0" labelOnly="1" outline="0" axis="axisValues" fieldPosition="0"/>
    </format>
    <format dxfId="1128">
      <pivotArea grandRow="1" outline="0" collapsedLevelsAreSubtotals="1" fieldPosition="0"/>
    </format>
    <format dxfId="1129">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AC5E91-2543-483A-AF18-A5D14578612C}" name="Kontingenční tabulka5" cacheId="3503" applyNumberFormats="0" applyBorderFormats="0" applyFontFormats="0" applyPatternFormats="0" applyAlignmentFormats="0" applyWidthHeightFormats="1" dataCaption="Hodnoty" updatedVersion="8" minRefreshableVersion="3" useAutoFormatting="1" itemPrintTitles="1" createdVersion="8" indent="0" outline="1" outlineData="1" multipleFieldFilters="0" chartFormat="1" rowHeaderCaption="Vac by hiring manager">
  <location ref="A73:B103"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showAll="0" sortType="descending">
      <items count="79">
        <item x="27"/>
        <item x="7"/>
        <item m="1" x="73"/>
        <item m="1" x="71"/>
        <item x="22"/>
        <item m="1" x="52"/>
        <item m="1" x="74"/>
        <item m="1" x="70"/>
        <item x="1"/>
        <item x="14"/>
        <item m="1" x="55"/>
        <item x="21"/>
        <item x="28"/>
        <item x="17"/>
        <item m="1" x="77"/>
        <item m="1" x="67"/>
        <item m="1" x="60"/>
        <item x="18"/>
        <item m="1" x="43"/>
        <item m="1" x="62"/>
        <item m="1" x="32"/>
        <item x="26"/>
        <item x="24"/>
        <item m="1" x="68"/>
        <item m="1" x="76"/>
        <item m="1" x="59"/>
        <item m="1" x="45"/>
        <item x="3"/>
        <item x="19"/>
        <item m="1" x="42"/>
        <item x="23"/>
        <item x="16"/>
        <item m="1" x="50"/>
        <item m="1" x="51"/>
        <item m="1" x="63"/>
        <item m="1" x="75"/>
        <item m="1" x="36"/>
        <item m="1" x="41"/>
        <item x="11"/>
        <item x="25"/>
        <item m="1" x="40"/>
        <item m="1" x="69"/>
        <item x="2"/>
        <item m="1" x="54"/>
        <item x="10"/>
        <item x="0"/>
        <item x="5"/>
        <item m="1" x="72"/>
        <item m="1" x="66"/>
        <item m="1" x="35"/>
        <item m="1" x="48"/>
        <item x="9"/>
        <item m="1" x="39"/>
        <item m="1" x="61"/>
        <item x="20"/>
        <item m="1" x="65"/>
        <item m="1" x="64"/>
        <item m="1" x="47"/>
        <item m="1" x="56"/>
        <item x="4"/>
        <item m="1" x="58"/>
        <item x="15"/>
        <item m="1" x="57"/>
        <item m="1" x="49"/>
        <item m="1" x="44"/>
        <item m="1" x="53"/>
        <item m="1" x="34"/>
        <item m="1" x="46"/>
        <item m="1" x="37"/>
        <item m="1" x="29"/>
        <item m="1" x="31"/>
        <item m="1" x="30"/>
        <item m="1" x="33"/>
        <item m="1" x="38"/>
        <item x="12"/>
        <item x="6"/>
        <item x="13"/>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10"/>
  </rowFields>
  <rowItems count="30">
    <i>
      <x v="11"/>
    </i>
    <i>
      <x v="4"/>
    </i>
    <i>
      <x v="9"/>
    </i>
    <i>
      <x v="8"/>
    </i>
    <i>
      <x v="27"/>
    </i>
    <i>
      <x v="22"/>
    </i>
    <i>
      <x v="61"/>
    </i>
    <i>
      <x v="28"/>
    </i>
    <i>
      <x v="1"/>
    </i>
    <i>
      <x v="12"/>
    </i>
    <i>
      <x v="31"/>
    </i>
    <i>
      <x v="54"/>
    </i>
    <i>
      <x v="30"/>
    </i>
    <i>
      <x v="21"/>
    </i>
    <i>
      <x v="17"/>
    </i>
    <i>
      <x v="39"/>
    </i>
    <i>
      <x v="77"/>
    </i>
    <i>
      <x v="51"/>
    </i>
    <i>
      <x v="75"/>
    </i>
    <i>
      <x v="13"/>
    </i>
    <i>
      <x v="59"/>
    </i>
    <i>
      <x v="46"/>
    </i>
    <i>
      <x v="74"/>
    </i>
    <i>
      <x v="38"/>
    </i>
    <i>
      <x v="76"/>
    </i>
    <i>
      <x v="44"/>
    </i>
    <i>
      <x v="42"/>
    </i>
    <i>
      <x/>
    </i>
    <i>
      <x v="45"/>
    </i>
    <i t="grand">
      <x/>
    </i>
  </rowItems>
  <colItems count="1">
    <i/>
  </colItems>
  <dataFields count="1">
    <dataField name="Vacancies" fld="16" baseField="0" baseItem="0"/>
  </dataFields>
  <formats count="689">
    <format dxfId="159">
      <pivotArea type="all" dataOnly="0" outline="0" fieldPosition="0"/>
    </format>
    <format dxfId="160">
      <pivotArea field="10" type="button" dataOnly="0" labelOnly="1" outline="0" axis="axisRow" fieldPosition="0"/>
    </format>
    <format dxfId="161">
      <pivotArea dataOnly="0" labelOnly="1" fieldPosition="0">
        <references count="1">
          <reference field="10" count="0"/>
        </references>
      </pivotArea>
    </format>
    <format dxfId="162">
      <pivotArea dataOnly="0" labelOnly="1" grandRow="1" outline="0" fieldPosition="0"/>
    </format>
    <format dxfId="163">
      <pivotArea dataOnly="0" labelOnly="1" outline="0" axis="axisValues" fieldPosition="0"/>
    </format>
    <format dxfId="164">
      <pivotArea field="10" type="button" dataOnly="0" labelOnly="1" outline="0" axis="axisRow" fieldPosition="0"/>
    </format>
    <format dxfId="165">
      <pivotArea dataOnly="0" labelOnly="1" outline="0" axis="axisValues" fieldPosition="0"/>
    </format>
    <format dxfId="166">
      <pivotArea field="10" type="button" dataOnly="0" labelOnly="1" outline="0" axis="axisRow" fieldPosition="0"/>
    </format>
    <format dxfId="167">
      <pivotArea dataOnly="0" labelOnly="1" outline="0" axis="axisValues" fieldPosition="0"/>
    </format>
    <format dxfId="168">
      <pivotArea field="10" type="button" dataOnly="0" labelOnly="1" outline="0" axis="axisRow" fieldPosition="0"/>
    </format>
    <format dxfId="169">
      <pivotArea dataOnly="0" labelOnly="1" outline="0" axis="axisValues" fieldPosition="0"/>
    </format>
    <format dxfId="170">
      <pivotArea field="10" type="button" dataOnly="0" labelOnly="1" outline="0" axis="axisRow" fieldPosition="0"/>
    </format>
    <format dxfId="171">
      <pivotArea dataOnly="0" labelOnly="1" outline="0" axis="axisValues" fieldPosition="0"/>
    </format>
    <format dxfId="172">
      <pivotArea field="10" type="button" dataOnly="0" labelOnly="1" outline="0" axis="axisRow" fieldPosition="0"/>
    </format>
    <format dxfId="173">
      <pivotArea dataOnly="0" labelOnly="1" outline="0" axis="axisValues" fieldPosition="0"/>
    </format>
    <format dxfId="174">
      <pivotArea field="10" type="button" dataOnly="0" labelOnly="1" outline="0" axis="axisRow" fieldPosition="0"/>
    </format>
    <format dxfId="175">
      <pivotArea dataOnly="0" labelOnly="1" outline="0" axis="axisValues" fieldPosition="0"/>
    </format>
    <format dxfId="176">
      <pivotArea dataOnly="0" labelOnly="1" fieldPosition="0">
        <references count="1">
          <reference field="10" count="1">
            <x v="4"/>
          </reference>
        </references>
      </pivotArea>
    </format>
    <format dxfId="177">
      <pivotArea dataOnly="0" labelOnly="1" fieldPosition="0">
        <references count="1">
          <reference field="10" count="1">
            <x v="4"/>
          </reference>
        </references>
      </pivotArea>
    </format>
    <format dxfId="178">
      <pivotArea dataOnly="0" labelOnly="1" fieldPosition="0">
        <references count="1">
          <reference field="10" count="1">
            <x v="4"/>
          </reference>
        </references>
      </pivotArea>
    </format>
    <format dxfId="179">
      <pivotArea dataOnly="0" labelOnly="1" fieldPosition="0">
        <references count="1">
          <reference field="10" count="1">
            <x v="4"/>
          </reference>
        </references>
      </pivotArea>
    </format>
    <format dxfId="180">
      <pivotArea dataOnly="0" labelOnly="1" fieldPosition="0">
        <references count="1">
          <reference field="10" count="1">
            <x v="4"/>
          </reference>
        </references>
      </pivotArea>
    </format>
    <format dxfId="181">
      <pivotArea dataOnly="0" labelOnly="1" fieldPosition="0">
        <references count="1">
          <reference field="10" count="1">
            <x v="4"/>
          </reference>
        </references>
      </pivotArea>
    </format>
    <format dxfId="182">
      <pivotArea collapsedLevelsAreSubtotals="1" fieldPosition="0">
        <references count="1">
          <reference field="10" count="1">
            <x v="4"/>
          </reference>
        </references>
      </pivotArea>
    </format>
    <format dxfId="183">
      <pivotArea collapsedLevelsAreSubtotals="1" fieldPosition="0">
        <references count="1">
          <reference field="10" count="1">
            <x v="4"/>
          </reference>
        </references>
      </pivotArea>
    </format>
    <format dxfId="184">
      <pivotArea collapsedLevelsAreSubtotals="1" fieldPosition="0">
        <references count="1">
          <reference field="10" count="1">
            <x v="4"/>
          </reference>
        </references>
      </pivotArea>
    </format>
    <format dxfId="185">
      <pivotArea collapsedLevelsAreSubtotals="1" fieldPosition="0">
        <references count="1">
          <reference field="10" count="1">
            <x v="4"/>
          </reference>
        </references>
      </pivotArea>
    </format>
    <format dxfId="186">
      <pivotArea collapsedLevelsAreSubtotals="1" fieldPosition="0">
        <references count="1">
          <reference field="10" count="1">
            <x v="4"/>
          </reference>
        </references>
      </pivotArea>
    </format>
    <format dxfId="187">
      <pivotArea collapsedLevelsAreSubtotals="1" fieldPosition="0">
        <references count="1">
          <reference field="10" count="1">
            <x v="4"/>
          </reference>
        </references>
      </pivotArea>
    </format>
    <format dxfId="188">
      <pivotArea dataOnly="0" labelOnly="1" fieldPosition="0">
        <references count="1">
          <reference field="10" count="1">
            <x v="4"/>
          </reference>
        </references>
      </pivotArea>
    </format>
    <format dxfId="189">
      <pivotArea dataOnly="0" labelOnly="1" fieldPosition="0">
        <references count="1">
          <reference field="10" count="1">
            <x v="9"/>
          </reference>
        </references>
      </pivotArea>
    </format>
    <format dxfId="190">
      <pivotArea dataOnly="0" labelOnly="1" fieldPosition="0">
        <references count="1">
          <reference field="10" count="1">
            <x v="9"/>
          </reference>
        </references>
      </pivotArea>
    </format>
    <format dxfId="191">
      <pivotArea dataOnly="0" labelOnly="1" fieldPosition="0">
        <references count="1">
          <reference field="10" count="1">
            <x v="9"/>
          </reference>
        </references>
      </pivotArea>
    </format>
    <format dxfId="192">
      <pivotArea dataOnly="0" labelOnly="1" fieldPosition="0">
        <references count="1">
          <reference field="10" count="1">
            <x v="9"/>
          </reference>
        </references>
      </pivotArea>
    </format>
    <format dxfId="193">
      <pivotArea dataOnly="0" labelOnly="1" fieldPosition="0">
        <references count="1">
          <reference field="10" count="1">
            <x v="9"/>
          </reference>
        </references>
      </pivotArea>
    </format>
    <format dxfId="194">
      <pivotArea dataOnly="0" labelOnly="1" fieldPosition="0">
        <references count="1">
          <reference field="10" count="1">
            <x v="9"/>
          </reference>
        </references>
      </pivotArea>
    </format>
    <format dxfId="195">
      <pivotArea collapsedLevelsAreSubtotals="1" fieldPosition="0">
        <references count="1">
          <reference field="10" count="1">
            <x v="9"/>
          </reference>
        </references>
      </pivotArea>
    </format>
    <format dxfId="196">
      <pivotArea collapsedLevelsAreSubtotals="1" fieldPosition="0">
        <references count="1">
          <reference field="10" count="1">
            <x v="9"/>
          </reference>
        </references>
      </pivotArea>
    </format>
    <format dxfId="197">
      <pivotArea collapsedLevelsAreSubtotals="1" fieldPosition="0">
        <references count="1">
          <reference field="10" count="1">
            <x v="9"/>
          </reference>
        </references>
      </pivotArea>
    </format>
    <format dxfId="198">
      <pivotArea collapsedLevelsAreSubtotals="1" fieldPosition="0">
        <references count="1">
          <reference field="10" count="1">
            <x v="9"/>
          </reference>
        </references>
      </pivotArea>
    </format>
    <format dxfId="199">
      <pivotArea collapsedLevelsAreSubtotals="1" fieldPosition="0">
        <references count="1">
          <reference field="10" count="1">
            <x v="9"/>
          </reference>
        </references>
      </pivotArea>
    </format>
    <format dxfId="200">
      <pivotArea collapsedLevelsAreSubtotals="1" fieldPosition="0">
        <references count="1">
          <reference field="10" count="1">
            <x v="9"/>
          </reference>
        </references>
      </pivotArea>
    </format>
    <format dxfId="201">
      <pivotArea dataOnly="0" labelOnly="1" fieldPosition="0">
        <references count="1">
          <reference field="10" count="1">
            <x v="9"/>
          </reference>
        </references>
      </pivotArea>
    </format>
    <format dxfId="202">
      <pivotArea dataOnly="0" labelOnly="1" fieldPosition="0">
        <references count="1">
          <reference field="10" count="1">
            <x v="11"/>
          </reference>
        </references>
      </pivotArea>
    </format>
    <format dxfId="203">
      <pivotArea dataOnly="0" labelOnly="1" fieldPosition="0">
        <references count="1">
          <reference field="10" count="1">
            <x v="11"/>
          </reference>
        </references>
      </pivotArea>
    </format>
    <format dxfId="204">
      <pivotArea dataOnly="0" labelOnly="1" fieldPosition="0">
        <references count="1">
          <reference field="10" count="1">
            <x v="11"/>
          </reference>
        </references>
      </pivotArea>
    </format>
    <format dxfId="205">
      <pivotArea dataOnly="0" labelOnly="1" fieldPosition="0">
        <references count="1">
          <reference field="10" count="1">
            <x v="11"/>
          </reference>
        </references>
      </pivotArea>
    </format>
    <format dxfId="206">
      <pivotArea dataOnly="0" labelOnly="1" fieldPosition="0">
        <references count="1">
          <reference field="10" count="1">
            <x v="11"/>
          </reference>
        </references>
      </pivotArea>
    </format>
    <format dxfId="207">
      <pivotArea dataOnly="0" labelOnly="1" fieldPosition="0">
        <references count="1">
          <reference field="10" count="1">
            <x v="11"/>
          </reference>
        </references>
      </pivotArea>
    </format>
    <format dxfId="208">
      <pivotArea collapsedLevelsAreSubtotals="1" fieldPosition="0">
        <references count="1">
          <reference field="10" count="1">
            <x v="11"/>
          </reference>
        </references>
      </pivotArea>
    </format>
    <format dxfId="209">
      <pivotArea collapsedLevelsAreSubtotals="1" fieldPosition="0">
        <references count="1">
          <reference field="10" count="1">
            <x v="11"/>
          </reference>
        </references>
      </pivotArea>
    </format>
    <format dxfId="210">
      <pivotArea collapsedLevelsAreSubtotals="1" fieldPosition="0">
        <references count="1">
          <reference field="10" count="1">
            <x v="11"/>
          </reference>
        </references>
      </pivotArea>
    </format>
    <format dxfId="211">
      <pivotArea collapsedLevelsAreSubtotals="1" fieldPosition="0">
        <references count="1">
          <reference field="10" count="1">
            <x v="11"/>
          </reference>
        </references>
      </pivotArea>
    </format>
    <format dxfId="212">
      <pivotArea collapsedLevelsAreSubtotals="1" fieldPosition="0">
        <references count="1">
          <reference field="10" count="1">
            <x v="11"/>
          </reference>
        </references>
      </pivotArea>
    </format>
    <format dxfId="213">
      <pivotArea collapsedLevelsAreSubtotals="1" fieldPosition="0">
        <references count="1">
          <reference field="10" count="1">
            <x v="11"/>
          </reference>
        </references>
      </pivotArea>
    </format>
    <format dxfId="214">
      <pivotArea dataOnly="0" labelOnly="1" fieldPosition="0">
        <references count="1">
          <reference field="10" count="1">
            <x v="11"/>
          </reference>
        </references>
      </pivotArea>
    </format>
    <format dxfId="215">
      <pivotArea dataOnly="0" labelOnly="1" fieldPosition="0">
        <references count="1">
          <reference field="10" count="1">
            <x v="1"/>
          </reference>
        </references>
      </pivotArea>
    </format>
    <format dxfId="216">
      <pivotArea dataOnly="0" labelOnly="1" fieldPosition="0">
        <references count="1">
          <reference field="10" count="1">
            <x v="1"/>
          </reference>
        </references>
      </pivotArea>
    </format>
    <format dxfId="217">
      <pivotArea dataOnly="0" labelOnly="1" fieldPosition="0">
        <references count="1">
          <reference field="10" count="1">
            <x v="1"/>
          </reference>
        </references>
      </pivotArea>
    </format>
    <format dxfId="218">
      <pivotArea dataOnly="0" labelOnly="1" fieldPosition="0">
        <references count="1">
          <reference field="10" count="1">
            <x v="1"/>
          </reference>
        </references>
      </pivotArea>
    </format>
    <format dxfId="219">
      <pivotArea dataOnly="0" labelOnly="1" fieldPosition="0">
        <references count="1">
          <reference field="10" count="1">
            <x v="1"/>
          </reference>
        </references>
      </pivotArea>
    </format>
    <format dxfId="220">
      <pivotArea dataOnly="0" labelOnly="1" fieldPosition="0">
        <references count="1">
          <reference field="10" count="1">
            <x v="1"/>
          </reference>
        </references>
      </pivotArea>
    </format>
    <format dxfId="221">
      <pivotArea collapsedLevelsAreSubtotals="1" fieldPosition="0">
        <references count="1">
          <reference field="10" count="1">
            <x v="1"/>
          </reference>
        </references>
      </pivotArea>
    </format>
    <format dxfId="222">
      <pivotArea collapsedLevelsAreSubtotals="1" fieldPosition="0">
        <references count="1">
          <reference field="10" count="1">
            <x v="1"/>
          </reference>
        </references>
      </pivotArea>
    </format>
    <format dxfId="223">
      <pivotArea collapsedLevelsAreSubtotals="1" fieldPosition="0">
        <references count="1">
          <reference field="10" count="1">
            <x v="1"/>
          </reference>
        </references>
      </pivotArea>
    </format>
    <format dxfId="224">
      <pivotArea collapsedLevelsAreSubtotals="1" fieldPosition="0">
        <references count="1">
          <reference field="10" count="1">
            <x v="1"/>
          </reference>
        </references>
      </pivotArea>
    </format>
    <format dxfId="225">
      <pivotArea collapsedLevelsAreSubtotals="1" fieldPosition="0">
        <references count="1">
          <reference field="10" count="1">
            <x v="1"/>
          </reference>
        </references>
      </pivotArea>
    </format>
    <format dxfId="226">
      <pivotArea collapsedLevelsAreSubtotals="1" fieldPosition="0">
        <references count="1">
          <reference field="10" count="1">
            <x v="1"/>
          </reference>
        </references>
      </pivotArea>
    </format>
    <format dxfId="227">
      <pivotArea dataOnly="0" labelOnly="1" fieldPosition="0">
        <references count="1">
          <reference field="10" count="1">
            <x v="1"/>
          </reference>
        </references>
      </pivotArea>
    </format>
    <format dxfId="228">
      <pivotArea dataOnly="0" labelOnly="1" fieldPosition="0">
        <references count="1">
          <reference field="10" count="1">
            <x v="27"/>
          </reference>
        </references>
      </pivotArea>
    </format>
    <format dxfId="229">
      <pivotArea dataOnly="0" labelOnly="1" fieldPosition="0">
        <references count="1">
          <reference field="10" count="1">
            <x v="27"/>
          </reference>
        </references>
      </pivotArea>
    </format>
    <format dxfId="230">
      <pivotArea dataOnly="0" labelOnly="1" fieldPosition="0">
        <references count="1">
          <reference field="10" count="1">
            <x v="27"/>
          </reference>
        </references>
      </pivotArea>
    </format>
    <format dxfId="231">
      <pivotArea dataOnly="0" labelOnly="1" fieldPosition="0">
        <references count="1">
          <reference field="10" count="1">
            <x v="27"/>
          </reference>
        </references>
      </pivotArea>
    </format>
    <format dxfId="232">
      <pivotArea dataOnly="0" labelOnly="1" fieldPosition="0">
        <references count="1">
          <reference field="10" count="1">
            <x v="27"/>
          </reference>
        </references>
      </pivotArea>
    </format>
    <format dxfId="233">
      <pivotArea dataOnly="0" labelOnly="1" fieldPosition="0">
        <references count="1">
          <reference field="10" count="1">
            <x v="27"/>
          </reference>
        </references>
      </pivotArea>
    </format>
    <format dxfId="234">
      <pivotArea collapsedLevelsAreSubtotals="1" fieldPosition="0">
        <references count="1">
          <reference field="10" count="1">
            <x v="27"/>
          </reference>
        </references>
      </pivotArea>
    </format>
    <format dxfId="235">
      <pivotArea collapsedLevelsAreSubtotals="1" fieldPosition="0">
        <references count="1">
          <reference field="10" count="1">
            <x v="27"/>
          </reference>
        </references>
      </pivotArea>
    </format>
    <format dxfId="236">
      <pivotArea collapsedLevelsAreSubtotals="1" fieldPosition="0">
        <references count="1">
          <reference field="10" count="1">
            <x v="27"/>
          </reference>
        </references>
      </pivotArea>
    </format>
    <format dxfId="237">
      <pivotArea collapsedLevelsAreSubtotals="1" fieldPosition="0">
        <references count="1">
          <reference field="10" count="1">
            <x v="27"/>
          </reference>
        </references>
      </pivotArea>
    </format>
    <format dxfId="238">
      <pivotArea collapsedLevelsAreSubtotals="1" fieldPosition="0">
        <references count="1">
          <reference field="10" count="1">
            <x v="27"/>
          </reference>
        </references>
      </pivotArea>
    </format>
    <format dxfId="239">
      <pivotArea collapsedLevelsAreSubtotals="1" fieldPosition="0">
        <references count="1">
          <reference field="10" count="1">
            <x v="27"/>
          </reference>
        </references>
      </pivotArea>
    </format>
    <format dxfId="240">
      <pivotArea dataOnly="0" labelOnly="1" fieldPosition="0">
        <references count="1">
          <reference field="10" count="1">
            <x v="27"/>
          </reference>
        </references>
      </pivotArea>
    </format>
    <format dxfId="241">
      <pivotArea dataOnly="0" labelOnly="1" fieldPosition="0">
        <references count="1">
          <reference field="10" count="1">
            <x v="22"/>
          </reference>
        </references>
      </pivotArea>
    </format>
    <format dxfId="242">
      <pivotArea dataOnly="0" labelOnly="1" fieldPosition="0">
        <references count="1">
          <reference field="10" count="1">
            <x v="22"/>
          </reference>
        </references>
      </pivotArea>
    </format>
    <format dxfId="243">
      <pivotArea dataOnly="0" labelOnly="1" fieldPosition="0">
        <references count="1">
          <reference field="10" count="1">
            <x v="22"/>
          </reference>
        </references>
      </pivotArea>
    </format>
    <format dxfId="244">
      <pivotArea dataOnly="0" labelOnly="1" fieldPosition="0">
        <references count="1">
          <reference field="10" count="1">
            <x v="22"/>
          </reference>
        </references>
      </pivotArea>
    </format>
    <format dxfId="245">
      <pivotArea dataOnly="0" labelOnly="1" fieldPosition="0">
        <references count="1">
          <reference field="10" count="1">
            <x v="22"/>
          </reference>
        </references>
      </pivotArea>
    </format>
    <format dxfId="246">
      <pivotArea dataOnly="0" labelOnly="1" fieldPosition="0">
        <references count="1">
          <reference field="10" count="1">
            <x v="22"/>
          </reference>
        </references>
      </pivotArea>
    </format>
    <format dxfId="247">
      <pivotArea collapsedLevelsAreSubtotals="1" fieldPosition="0">
        <references count="1">
          <reference field="10" count="1">
            <x v="22"/>
          </reference>
        </references>
      </pivotArea>
    </format>
    <format dxfId="248">
      <pivotArea collapsedLevelsAreSubtotals="1" fieldPosition="0">
        <references count="1">
          <reference field="10" count="1">
            <x v="22"/>
          </reference>
        </references>
      </pivotArea>
    </format>
    <format dxfId="249">
      <pivotArea collapsedLevelsAreSubtotals="1" fieldPosition="0">
        <references count="1">
          <reference field="10" count="1">
            <x v="22"/>
          </reference>
        </references>
      </pivotArea>
    </format>
    <format dxfId="250">
      <pivotArea collapsedLevelsAreSubtotals="1" fieldPosition="0">
        <references count="1">
          <reference field="10" count="1">
            <x v="22"/>
          </reference>
        </references>
      </pivotArea>
    </format>
    <format dxfId="251">
      <pivotArea collapsedLevelsAreSubtotals="1" fieldPosition="0">
        <references count="1">
          <reference field="10" count="1">
            <x v="22"/>
          </reference>
        </references>
      </pivotArea>
    </format>
    <format dxfId="252">
      <pivotArea collapsedLevelsAreSubtotals="1" fieldPosition="0">
        <references count="1">
          <reference field="10" count="1">
            <x v="22"/>
          </reference>
        </references>
      </pivotArea>
    </format>
    <format dxfId="253">
      <pivotArea dataOnly="0" labelOnly="1" fieldPosition="0">
        <references count="1">
          <reference field="10" count="1">
            <x v="22"/>
          </reference>
        </references>
      </pivotArea>
    </format>
    <format dxfId="254">
      <pivotArea dataOnly="0" labelOnly="1" fieldPosition="0">
        <references count="1">
          <reference field="10" count="1">
            <x v="28"/>
          </reference>
        </references>
      </pivotArea>
    </format>
    <format dxfId="255">
      <pivotArea dataOnly="0" labelOnly="1" fieldPosition="0">
        <references count="1">
          <reference field="10" count="1">
            <x v="28"/>
          </reference>
        </references>
      </pivotArea>
    </format>
    <format dxfId="256">
      <pivotArea dataOnly="0" labelOnly="1" fieldPosition="0">
        <references count="1">
          <reference field="10" count="1">
            <x v="28"/>
          </reference>
        </references>
      </pivotArea>
    </format>
    <format dxfId="257">
      <pivotArea dataOnly="0" labelOnly="1" fieldPosition="0">
        <references count="1">
          <reference field="10" count="1">
            <x v="28"/>
          </reference>
        </references>
      </pivotArea>
    </format>
    <format dxfId="258">
      <pivotArea dataOnly="0" labelOnly="1" fieldPosition="0">
        <references count="1">
          <reference field="10" count="1">
            <x v="28"/>
          </reference>
        </references>
      </pivotArea>
    </format>
    <format dxfId="259">
      <pivotArea dataOnly="0" labelOnly="1" fieldPosition="0">
        <references count="1">
          <reference field="10" count="1">
            <x v="28"/>
          </reference>
        </references>
      </pivotArea>
    </format>
    <format dxfId="260">
      <pivotArea collapsedLevelsAreSubtotals="1" fieldPosition="0">
        <references count="1">
          <reference field="10" count="1">
            <x v="28"/>
          </reference>
        </references>
      </pivotArea>
    </format>
    <format dxfId="261">
      <pivotArea collapsedLevelsAreSubtotals="1" fieldPosition="0">
        <references count="1">
          <reference field="10" count="1">
            <x v="28"/>
          </reference>
        </references>
      </pivotArea>
    </format>
    <format dxfId="262">
      <pivotArea collapsedLevelsAreSubtotals="1" fieldPosition="0">
        <references count="1">
          <reference field="10" count="1">
            <x v="28"/>
          </reference>
        </references>
      </pivotArea>
    </format>
    <format dxfId="263">
      <pivotArea collapsedLevelsAreSubtotals="1" fieldPosition="0">
        <references count="1">
          <reference field="10" count="1">
            <x v="28"/>
          </reference>
        </references>
      </pivotArea>
    </format>
    <format dxfId="264">
      <pivotArea collapsedLevelsAreSubtotals="1" fieldPosition="0">
        <references count="1">
          <reference field="10" count="1">
            <x v="28"/>
          </reference>
        </references>
      </pivotArea>
    </format>
    <format dxfId="265">
      <pivotArea collapsedLevelsAreSubtotals="1" fieldPosition="0">
        <references count="1">
          <reference field="10" count="1">
            <x v="28"/>
          </reference>
        </references>
      </pivotArea>
    </format>
    <format dxfId="266">
      <pivotArea dataOnly="0" labelOnly="1" fieldPosition="0">
        <references count="1">
          <reference field="10" count="1">
            <x v="28"/>
          </reference>
        </references>
      </pivotArea>
    </format>
    <format dxfId="267">
      <pivotArea dataOnly="0" labelOnly="1" fieldPosition="0">
        <references count="1">
          <reference field="10" count="1">
            <x v="8"/>
          </reference>
        </references>
      </pivotArea>
    </format>
    <format dxfId="268">
      <pivotArea dataOnly="0" labelOnly="1" fieldPosition="0">
        <references count="1">
          <reference field="10" count="1">
            <x v="8"/>
          </reference>
        </references>
      </pivotArea>
    </format>
    <format dxfId="269">
      <pivotArea dataOnly="0" labelOnly="1" fieldPosition="0">
        <references count="1">
          <reference field="10" count="1">
            <x v="8"/>
          </reference>
        </references>
      </pivotArea>
    </format>
    <format dxfId="270">
      <pivotArea dataOnly="0" labelOnly="1" fieldPosition="0">
        <references count="1">
          <reference field="10" count="1">
            <x v="8"/>
          </reference>
        </references>
      </pivotArea>
    </format>
    <format dxfId="271">
      <pivotArea dataOnly="0" labelOnly="1" fieldPosition="0">
        <references count="1">
          <reference field="10" count="1">
            <x v="8"/>
          </reference>
        </references>
      </pivotArea>
    </format>
    <format dxfId="272">
      <pivotArea dataOnly="0" labelOnly="1" fieldPosition="0">
        <references count="1">
          <reference field="10" count="1">
            <x v="8"/>
          </reference>
        </references>
      </pivotArea>
    </format>
    <format dxfId="273">
      <pivotArea collapsedLevelsAreSubtotals="1" fieldPosition="0">
        <references count="1">
          <reference field="10" count="1">
            <x v="8"/>
          </reference>
        </references>
      </pivotArea>
    </format>
    <format dxfId="274">
      <pivotArea collapsedLevelsAreSubtotals="1" fieldPosition="0">
        <references count="1">
          <reference field="10" count="1">
            <x v="8"/>
          </reference>
        </references>
      </pivotArea>
    </format>
    <format dxfId="275">
      <pivotArea collapsedLevelsAreSubtotals="1" fieldPosition="0">
        <references count="1">
          <reference field="10" count="1">
            <x v="8"/>
          </reference>
        </references>
      </pivotArea>
    </format>
    <format dxfId="276">
      <pivotArea collapsedLevelsAreSubtotals="1" fieldPosition="0">
        <references count="1">
          <reference field="10" count="1">
            <x v="8"/>
          </reference>
        </references>
      </pivotArea>
    </format>
    <format dxfId="277">
      <pivotArea collapsedLevelsAreSubtotals="1" fieldPosition="0">
        <references count="1">
          <reference field="10" count="1">
            <x v="8"/>
          </reference>
        </references>
      </pivotArea>
    </format>
    <format dxfId="278">
      <pivotArea collapsedLevelsAreSubtotals="1" fieldPosition="0">
        <references count="1">
          <reference field="10" count="1">
            <x v="8"/>
          </reference>
        </references>
      </pivotArea>
    </format>
    <format dxfId="279">
      <pivotArea dataOnly="0" labelOnly="1" fieldPosition="0">
        <references count="1">
          <reference field="10" count="1">
            <x v="8"/>
          </reference>
        </references>
      </pivotArea>
    </format>
    <format dxfId="280">
      <pivotArea dataOnly="0" labelOnly="1" fieldPosition="0">
        <references count="1">
          <reference field="10" count="1">
            <x v="31"/>
          </reference>
        </references>
      </pivotArea>
    </format>
    <format dxfId="281">
      <pivotArea dataOnly="0" labelOnly="1" fieldPosition="0">
        <references count="1">
          <reference field="10" count="1">
            <x v="31"/>
          </reference>
        </references>
      </pivotArea>
    </format>
    <format dxfId="282">
      <pivotArea dataOnly="0" labelOnly="1" fieldPosition="0">
        <references count="1">
          <reference field="10" count="1">
            <x v="31"/>
          </reference>
        </references>
      </pivotArea>
    </format>
    <format dxfId="283">
      <pivotArea dataOnly="0" labelOnly="1" fieldPosition="0">
        <references count="1">
          <reference field="10" count="1">
            <x v="31"/>
          </reference>
        </references>
      </pivotArea>
    </format>
    <format dxfId="284">
      <pivotArea dataOnly="0" labelOnly="1" fieldPosition="0">
        <references count="1">
          <reference field="10" count="1">
            <x v="31"/>
          </reference>
        </references>
      </pivotArea>
    </format>
    <format dxfId="285">
      <pivotArea dataOnly="0" labelOnly="1" fieldPosition="0">
        <references count="1">
          <reference field="10" count="1">
            <x v="31"/>
          </reference>
        </references>
      </pivotArea>
    </format>
    <format dxfId="286">
      <pivotArea collapsedLevelsAreSubtotals="1" fieldPosition="0">
        <references count="1">
          <reference field="10" count="1">
            <x v="31"/>
          </reference>
        </references>
      </pivotArea>
    </format>
    <format dxfId="287">
      <pivotArea collapsedLevelsAreSubtotals="1" fieldPosition="0">
        <references count="1">
          <reference field="10" count="1">
            <x v="31"/>
          </reference>
        </references>
      </pivotArea>
    </format>
    <format dxfId="288">
      <pivotArea collapsedLevelsAreSubtotals="1" fieldPosition="0">
        <references count="1">
          <reference field="10" count="1">
            <x v="31"/>
          </reference>
        </references>
      </pivotArea>
    </format>
    <format dxfId="289">
      <pivotArea collapsedLevelsAreSubtotals="1" fieldPosition="0">
        <references count="1">
          <reference field="10" count="1">
            <x v="31"/>
          </reference>
        </references>
      </pivotArea>
    </format>
    <format dxfId="290">
      <pivotArea collapsedLevelsAreSubtotals="1" fieldPosition="0">
        <references count="1">
          <reference field="10" count="1">
            <x v="31"/>
          </reference>
        </references>
      </pivotArea>
    </format>
    <format dxfId="291">
      <pivotArea collapsedLevelsAreSubtotals="1" fieldPosition="0">
        <references count="1">
          <reference field="10" count="1">
            <x v="31"/>
          </reference>
        </references>
      </pivotArea>
    </format>
    <format dxfId="292">
      <pivotArea dataOnly="0" labelOnly="1" fieldPosition="0">
        <references count="1">
          <reference field="10" count="1">
            <x v="31"/>
          </reference>
        </references>
      </pivotArea>
    </format>
    <format dxfId="293">
      <pivotArea dataOnly="0" labelOnly="1" fieldPosition="0">
        <references count="1">
          <reference field="10" count="1">
            <x v="12"/>
          </reference>
        </references>
      </pivotArea>
    </format>
    <format dxfId="294">
      <pivotArea dataOnly="0" labelOnly="1" fieldPosition="0">
        <references count="1">
          <reference field="10" count="1">
            <x v="12"/>
          </reference>
        </references>
      </pivotArea>
    </format>
    <format dxfId="295">
      <pivotArea dataOnly="0" labelOnly="1" fieldPosition="0">
        <references count="1">
          <reference field="10" count="1">
            <x v="12"/>
          </reference>
        </references>
      </pivotArea>
    </format>
    <format dxfId="296">
      <pivotArea dataOnly="0" labelOnly="1" fieldPosition="0">
        <references count="1">
          <reference field="10" count="1">
            <x v="12"/>
          </reference>
        </references>
      </pivotArea>
    </format>
    <format dxfId="297">
      <pivotArea dataOnly="0" labelOnly="1" fieldPosition="0">
        <references count="1">
          <reference field="10" count="1">
            <x v="12"/>
          </reference>
        </references>
      </pivotArea>
    </format>
    <format dxfId="298">
      <pivotArea dataOnly="0" labelOnly="1" fieldPosition="0">
        <references count="1">
          <reference field="10" count="1">
            <x v="12"/>
          </reference>
        </references>
      </pivotArea>
    </format>
    <format dxfId="299">
      <pivotArea collapsedLevelsAreSubtotals="1" fieldPosition="0">
        <references count="1">
          <reference field="10" count="1">
            <x v="12"/>
          </reference>
        </references>
      </pivotArea>
    </format>
    <format dxfId="300">
      <pivotArea collapsedLevelsAreSubtotals="1" fieldPosition="0">
        <references count="1">
          <reference field="10" count="1">
            <x v="12"/>
          </reference>
        </references>
      </pivotArea>
    </format>
    <format dxfId="301">
      <pivotArea collapsedLevelsAreSubtotals="1" fieldPosition="0">
        <references count="1">
          <reference field="10" count="1">
            <x v="12"/>
          </reference>
        </references>
      </pivotArea>
    </format>
    <format dxfId="302">
      <pivotArea collapsedLevelsAreSubtotals="1" fieldPosition="0">
        <references count="1">
          <reference field="10" count="1">
            <x v="12"/>
          </reference>
        </references>
      </pivotArea>
    </format>
    <format dxfId="303">
      <pivotArea collapsedLevelsAreSubtotals="1" fieldPosition="0">
        <references count="1">
          <reference field="10" count="1">
            <x v="12"/>
          </reference>
        </references>
      </pivotArea>
    </format>
    <format dxfId="304">
      <pivotArea collapsedLevelsAreSubtotals="1" fieldPosition="0">
        <references count="1">
          <reference field="10" count="1">
            <x v="12"/>
          </reference>
        </references>
      </pivotArea>
    </format>
    <format dxfId="305">
      <pivotArea dataOnly="0" labelOnly="1" fieldPosition="0">
        <references count="1">
          <reference field="10" count="1">
            <x v="12"/>
          </reference>
        </references>
      </pivotArea>
    </format>
    <format dxfId="306">
      <pivotArea dataOnly="0" labelOnly="1" fieldPosition="0">
        <references count="1">
          <reference field="10" count="1">
            <x v="30"/>
          </reference>
        </references>
      </pivotArea>
    </format>
    <format dxfId="307">
      <pivotArea dataOnly="0" labelOnly="1" fieldPosition="0">
        <references count="1">
          <reference field="10" count="1">
            <x v="30"/>
          </reference>
        </references>
      </pivotArea>
    </format>
    <format dxfId="308">
      <pivotArea dataOnly="0" labelOnly="1" fieldPosition="0">
        <references count="1">
          <reference field="10" count="1">
            <x v="30"/>
          </reference>
        </references>
      </pivotArea>
    </format>
    <format dxfId="309">
      <pivotArea dataOnly="0" labelOnly="1" fieldPosition="0">
        <references count="1">
          <reference field="10" count="1">
            <x v="30"/>
          </reference>
        </references>
      </pivotArea>
    </format>
    <format dxfId="310">
      <pivotArea dataOnly="0" labelOnly="1" fieldPosition="0">
        <references count="1">
          <reference field="10" count="1">
            <x v="30"/>
          </reference>
        </references>
      </pivotArea>
    </format>
    <format dxfId="311">
      <pivotArea dataOnly="0" labelOnly="1" fieldPosition="0">
        <references count="1">
          <reference field="10" count="1">
            <x v="30"/>
          </reference>
        </references>
      </pivotArea>
    </format>
    <format dxfId="312">
      <pivotArea collapsedLevelsAreSubtotals="1" fieldPosition="0">
        <references count="1">
          <reference field="10" count="1">
            <x v="30"/>
          </reference>
        </references>
      </pivotArea>
    </format>
    <format dxfId="313">
      <pivotArea collapsedLevelsAreSubtotals="1" fieldPosition="0">
        <references count="1">
          <reference field="10" count="1">
            <x v="30"/>
          </reference>
        </references>
      </pivotArea>
    </format>
    <format dxfId="314">
      <pivotArea collapsedLevelsAreSubtotals="1" fieldPosition="0">
        <references count="1">
          <reference field="10" count="1">
            <x v="30"/>
          </reference>
        </references>
      </pivotArea>
    </format>
    <format dxfId="315">
      <pivotArea collapsedLevelsAreSubtotals="1" fieldPosition="0">
        <references count="1">
          <reference field="10" count="1">
            <x v="30"/>
          </reference>
        </references>
      </pivotArea>
    </format>
    <format dxfId="316">
      <pivotArea collapsedLevelsAreSubtotals="1" fieldPosition="0">
        <references count="1">
          <reference field="10" count="1">
            <x v="30"/>
          </reference>
        </references>
      </pivotArea>
    </format>
    <format dxfId="317">
      <pivotArea collapsedLevelsAreSubtotals="1" fieldPosition="0">
        <references count="1">
          <reference field="10" count="1">
            <x v="30"/>
          </reference>
        </references>
      </pivotArea>
    </format>
    <format dxfId="318">
      <pivotArea dataOnly="0" labelOnly="1" fieldPosition="0">
        <references count="1">
          <reference field="10" count="1">
            <x v="30"/>
          </reference>
        </references>
      </pivotArea>
    </format>
    <format dxfId="319">
      <pivotArea dataOnly="0" labelOnly="1" fieldPosition="0">
        <references count="1">
          <reference field="10" count="1">
            <x v="17"/>
          </reference>
        </references>
      </pivotArea>
    </format>
    <format dxfId="320">
      <pivotArea dataOnly="0" labelOnly="1" fieldPosition="0">
        <references count="1">
          <reference field="10" count="1">
            <x v="17"/>
          </reference>
        </references>
      </pivotArea>
    </format>
    <format dxfId="321">
      <pivotArea dataOnly="0" labelOnly="1" fieldPosition="0">
        <references count="1">
          <reference field="10" count="1">
            <x v="17"/>
          </reference>
        </references>
      </pivotArea>
    </format>
    <format dxfId="322">
      <pivotArea dataOnly="0" labelOnly="1" fieldPosition="0">
        <references count="1">
          <reference field="10" count="1">
            <x v="17"/>
          </reference>
        </references>
      </pivotArea>
    </format>
    <format dxfId="323">
      <pivotArea dataOnly="0" labelOnly="1" fieldPosition="0">
        <references count="1">
          <reference field="10" count="1">
            <x v="17"/>
          </reference>
        </references>
      </pivotArea>
    </format>
    <format dxfId="324">
      <pivotArea dataOnly="0" labelOnly="1" fieldPosition="0">
        <references count="1">
          <reference field="10" count="1">
            <x v="17"/>
          </reference>
        </references>
      </pivotArea>
    </format>
    <format dxfId="325">
      <pivotArea collapsedLevelsAreSubtotals="1" fieldPosition="0">
        <references count="1">
          <reference field="10" count="1">
            <x v="17"/>
          </reference>
        </references>
      </pivotArea>
    </format>
    <format dxfId="326">
      <pivotArea collapsedLevelsAreSubtotals="1" fieldPosition="0">
        <references count="1">
          <reference field="10" count="1">
            <x v="17"/>
          </reference>
        </references>
      </pivotArea>
    </format>
    <format dxfId="327">
      <pivotArea collapsedLevelsAreSubtotals="1" fieldPosition="0">
        <references count="1">
          <reference field="10" count="1">
            <x v="17"/>
          </reference>
        </references>
      </pivotArea>
    </format>
    <format dxfId="328">
      <pivotArea collapsedLevelsAreSubtotals="1" fieldPosition="0">
        <references count="1">
          <reference field="10" count="1">
            <x v="17"/>
          </reference>
        </references>
      </pivotArea>
    </format>
    <format dxfId="329">
      <pivotArea collapsedLevelsAreSubtotals="1" fieldPosition="0">
        <references count="1">
          <reference field="10" count="1">
            <x v="17"/>
          </reference>
        </references>
      </pivotArea>
    </format>
    <format dxfId="330">
      <pivotArea collapsedLevelsAreSubtotals="1" fieldPosition="0">
        <references count="1">
          <reference field="10" count="1">
            <x v="17"/>
          </reference>
        </references>
      </pivotArea>
    </format>
    <format dxfId="331">
      <pivotArea dataOnly="0" labelOnly="1" fieldPosition="0">
        <references count="1">
          <reference field="10" count="1">
            <x v="17"/>
          </reference>
        </references>
      </pivotArea>
    </format>
    <format dxfId="332">
      <pivotArea dataOnly="0" labelOnly="1" fieldPosition="0">
        <references count="1">
          <reference field="10" count="1">
            <x v="21"/>
          </reference>
        </references>
      </pivotArea>
    </format>
    <format dxfId="333">
      <pivotArea dataOnly="0" labelOnly="1" fieldPosition="0">
        <references count="1">
          <reference field="10" count="1">
            <x v="21"/>
          </reference>
        </references>
      </pivotArea>
    </format>
    <format dxfId="334">
      <pivotArea dataOnly="0" labelOnly="1" fieldPosition="0">
        <references count="1">
          <reference field="10" count="1">
            <x v="21"/>
          </reference>
        </references>
      </pivotArea>
    </format>
    <format dxfId="335">
      <pivotArea dataOnly="0" labelOnly="1" fieldPosition="0">
        <references count="1">
          <reference field="10" count="1">
            <x v="21"/>
          </reference>
        </references>
      </pivotArea>
    </format>
    <format dxfId="336">
      <pivotArea dataOnly="0" labelOnly="1" fieldPosition="0">
        <references count="1">
          <reference field="10" count="1">
            <x v="21"/>
          </reference>
        </references>
      </pivotArea>
    </format>
    <format dxfId="337">
      <pivotArea dataOnly="0" labelOnly="1" fieldPosition="0">
        <references count="1">
          <reference field="10" count="1">
            <x v="21"/>
          </reference>
        </references>
      </pivotArea>
    </format>
    <format dxfId="338">
      <pivotArea collapsedLevelsAreSubtotals="1" fieldPosition="0">
        <references count="1">
          <reference field="10" count="1">
            <x v="21"/>
          </reference>
        </references>
      </pivotArea>
    </format>
    <format dxfId="339">
      <pivotArea collapsedLevelsAreSubtotals="1" fieldPosition="0">
        <references count="1">
          <reference field="10" count="1">
            <x v="21"/>
          </reference>
        </references>
      </pivotArea>
    </format>
    <format dxfId="340">
      <pivotArea collapsedLevelsAreSubtotals="1" fieldPosition="0">
        <references count="1">
          <reference field="10" count="1">
            <x v="21"/>
          </reference>
        </references>
      </pivotArea>
    </format>
    <format dxfId="341">
      <pivotArea collapsedLevelsAreSubtotals="1" fieldPosition="0">
        <references count="1">
          <reference field="10" count="1">
            <x v="21"/>
          </reference>
        </references>
      </pivotArea>
    </format>
    <format dxfId="342">
      <pivotArea collapsedLevelsAreSubtotals="1" fieldPosition="0">
        <references count="1">
          <reference field="10" count="1">
            <x v="21"/>
          </reference>
        </references>
      </pivotArea>
    </format>
    <format dxfId="343">
      <pivotArea collapsedLevelsAreSubtotals="1" fieldPosition="0">
        <references count="1">
          <reference field="10" count="1">
            <x v="21"/>
          </reference>
        </references>
      </pivotArea>
    </format>
    <format dxfId="344">
      <pivotArea dataOnly="0" labelOnly="1" fieldPosition="0">
        <references count="1">
          <reference field="10" count="1">
            <x v="21"/>
          </reference>
        </references>
      </pivotArea>
    </format>
    <format dxfId="345">
      <pivotArea dataOnly="0" labelOnly="1" fieldPosition="0">
        <references count="1">
          <reference field="10" count="1">
            <x v="39"/>
          </reference>
        </references>
      </pivotArea>
    </format>
    <format dxfId="346">
      <pivotArea dataOnly="0" labelOnly="1" fieldPosition="0">
        <references count="1">
          <reference field="10" count="1">
            <x v="39"/>
          </reference>
        </references>
      </pivotArea>
    </format>
    <format dxfId="347">
      <pivotArea dataOnly="0" labelOnly="1" fieldPosition="0">
        <references count="1">
          <reference field="10" count="1">
            <x v="39"/>
          </reference>
        </references>
      </pivotArea>
    </format>
    <format dxfId="348">
      <pivotArea dataOnly="0" labelOnly="1" fieldPosition="0">
        <references count="1">
          <reference field="10" count="1">
            <x v="39"/>
          </reference>
        </references>
      </pivotArea>
    </format>
    <format dxfId="349">
      <pivotArea dataOnly="0" labelOnly="1" fieldPosition="0">
        <references count="1">
          <reference field="10" count="1">
            <x v="39"/>
          </reference>
        </references>
      </pivotArea>
    </format>
    <format dxfId="350">
      <pivotArea dataOnly="0" labelOnly="1" fieldPosition="0">
        <references count="1">
          <reference field="10" count="1">
            <x v="39"/>
          </reference>
        </references>
      </pivotArea>
    </format>
    <format dxfId="351">
      <pivotArea collapsedLevelsAreSubtotals="1" fieldPosition="0">
        <references count="1">
          <reference field="10" count="1">
            <x v="39"/>
          </reference>
        </references>
      </pivotArea>
    </format>
    <format dxfId="352">
      <pivotArea collapsedLevelsAreSubtotals="1" fieldPosition="0">
        <references count="1">
          <reference field="10" count="1">
            <x v="39"/>
          </reference>
        </references>
      </pivotArea>
    </format>
    <format dxfId="353">
      <pivotArea collapsedLevelsAreSubtotals="1" fieldPosition="0">
        <references count="1">
          <reference field="10" count="1">
            <x v="39"/>
          </reference>
        </references>
      </pivotArea>
    </format>
    <format dxfId="354">
      <pivotArea collapsedLevelsAreSubtotals="1" fieldPosition="0">
        <references count="1">
          <reference field="10" count="1">
            <x v="39"/>
          </reference>
        </references>
      </pivotArea>
    </format>
    <format dxfId="355">
      <pivotArea collapsedLevelsAreSubtotals="1" fieldPosition="0">
        <references count="1">
          <reference field="10" count="1">
            <x v="39"/>
          </reference>
        </references>
      </pivotArea>
    </format>
    <format dxfId="356">
      <pivotArea collapsedLevelsAreSubtotals="1" fieldPosition="0">
        <references count="1">
          <reference field="10" count="1">
            <x v="39"/>
          </reference>
        </references>
      </pivotArea>
    </format>
    <format dxfId="357">
      <pivotArea dataOnly="0" labelOnly="1" fieldPosition="0">
        <references count="1">
          <reference field="10" count="1">
            <x v="39"/>
          </reference>
        </references>
      </pivotArea>
    </format>
    <format dxfId="358">
      <pivotArea dataOnly="0" labelOnly="1" fieldPosition="0">
        <references count="1">
          <reference field="10" count="1">
            <x v="38"/>
          </reference>
        </references>
      </pivotArea>
    </format>
    <format dxfId="359">
      <pivotArea dataOnly="0" labelOnly="1" fieldPosition="0">
        <references count="1">
          <reference field="10" count="1">
            <x v="38"/>
          </reference>
        </references>
      </pivotArea>
    </format>
    <format dxfId="360">
      <pivotArea dataOnly="0" labelOnly="1" fieldPosition="0">
        <references count="1">
          <reference field="10" count="1">
            <x v="38"/>
          </reference>
        </references>
      </pivotArea>
    </format>
    <format dxfId="361">
      <pivotArea dataOnly="0" labelOnly="1" fieldPosition="0">
        <references count="1">
          <reference field="10" count="1">
            <x v="38"/>
          </reference>
        </references>
      </pivotArea>
    </format>
    <format dxfId="362">
      <pivotArea dataOnly="0" labelOnly="1" fieldPosition="0">
        <references count="1">
          <reference field="10" count="1">
            <x v="38"/>
          </reference>
        </references>
      </pivotArea>
    </format>
    <format dxfId="363">
      <pivotArea dataOnly="0" labelOnly="1" fieldPosition="0">
        <references count="1">
          <reference field="10" count="1">
            <x v="38"/>
          </reference>
        </references>
      </pivotArea>
    </format>
    <format dxfId="364">
      <pivotArea collapsedLevelsAreSubtotals="1" fieldPosition="0">
        <references count="1">
          <reference field="10" count="1">
            <x v="38"/>
          </reference>
        </references>
      </pivotArea>
    </format>
    <format dxfId="365">
      <pivotArea collapsedLevelsAreSubtotals="1" fieldPosition="0">
        <references count="1">
          <reference field="10" count="1">
            <x v="38"/>
          </reference>
        </references>
      </pivotArea>
    </format>
    <format dxfId="366">
      <pivotArea collapsedLevelsAreSubtotals="1" fieldPosition="0">
        <references count="1">
          <reference field="10" count="1">
            <x v="38"/>
          </reference>
        </references>
      </pivotArea>
    </format>
    <format dxfId="367">
      <pivotArea collapsedLevelsAreSubtotals="1" fieldPosition="0">
        <references count="1">
          <reference field="10" count="1">
            <x v="38"/>
          </reference>
        </references>
      </pivotArea>
    </format>
    <format dxfId="368">
      <pivotArea collapsedLevelsAreSubtotals="1" fieldPosition="0">
        <references count="1">
          <reference field="10" count="1">
            <x v="38"/>
          </reference>
        </references>
      </pivotArea>
    </format>
    <format dxfId="369">
      <pivotArea collapsedLevelsAreSubtotals="1" fieldPosition="0">
        <references count="1">
          <reference field="10" count="1">
            <x v="38"/>
          </reference>
        </references>
      </pivotArea>
    </format>
    <format dxfId="370">
      <pivotArea dataOnly="0" labelOnly="1" fieldPosition="0">
        <references count="1">
          <reference field="10" count="1">
            <x v="38"/>
          </reference>
        </references>
      </pivotArea>
    </format>
    <format dxfId="371">
      <pivotArea dataOnly="0" labelOnly="1" fieldPosition="0">
        <references count="1">
          <reference field="10" count="1">
            <x v="44"/>
          </reference>
        </references>
      </pivotArea>
    </format>
    <format dxfId="372">
      <pivotArea dataOnly="0" labelOnly="1" fieldPosition="0">
        <references count="1">
          <reference field="10" count="1">
            <x v="44"/>
          </reference>
        </references>
      </pivotArea>
    </format>
    <format dxfId="373">
      <pivotArea dataOnly="0" labelOnly="1" fieldPosition="0">
        <references count="1">
          <reference field="10" count="1">
            <x v="44"/>
          </reference>
        </references>
      </pivotArea>
    </format>
    <format dxfId="374">
      <pivotArea dataOnly="0" labelOnly="1" fieldPosition="0">
        <references count="1">
          <reference field="10" count="1">
            <x v="44"/>
          </reference>
        </references>
      </pivotArea>
    </format>
    <format dxfId="375">
      <pivotArea dataOnly="0" labelOnly="1" fieldPosition="0">
        <references count="1">
          <reference field="10" count="1">
            <x v="44"/>
          </reference>
        </references>
      </pivotArea>
    </format>
    <format dxfId="376">
      <pivotArea dataOnly="0" labelOnly="1" fieldPosition="0">
        <references count="1">
          <reference field="10" count="1">
            <x v="44"/>
          </reference>
        </references>
      </pivotArea>
    </format>
    <format dxfId="377">
      <pivotArea collapsedLevelsAreSubtotals="1" fieldPosition="0">
        <references count="1">
          <reference field="10" count="1">
            <x v="44"/>
          </reference>
        </references>
      </pivotArea>
    </format>
    <format dxfId="378">
      <pivotArea collapsedLevelsAreSubtotals="1" fieldPosition="0">
        <references count="1">
          <reference field="10" count="1">
            <x v="44"/>
          </reference>
        </references>
      </pivotArea>
    </format>
    <format dxfId="379">
      <pivotArea collapsedLevelsAreSubtotals="1" fieldPosition="0">
        <references count="1">
          <reference field="10" count="1">
            <x v="44"/>
          </reference>
        </references>
      </pivotArea>
    </format>
    <format dxfId="380">
      <pivotArea collapsedLevelsAreSubtotals="1" fieldPosition="0">
        <references count="1">
          <reference field="10" count="1">
            <x v="44"/>
          </reference>
        </references>
      </pivotArea>
    </format>
    <format dxfId="381">
      <pivotArea collapsedLevelsAreSubtotals="1" fieldPosition="0">
        <references count="1">
          <reference field="10" count="1">
            <x v="44"/>
          </reference>
        </references>
      </pivotArea>
    </format>
    <format dxfId="382">
      <pivotArea collapsedLevelsAreSubtotals="1" fieldPosition="0">
        <references count="1">
          <reference field="10" count="1">
            <x v="44"/>
          </reference>
        </references>
      </pivotArea>
    </format>
    <format dxfId="383">
      <pivotArea dataOnly="0" labelOnly="1" fieldPosition="0">
        <references count="1">
          <reference field="10" count="1">
            <x v="44"/>
          </reference>
        </references>
      </pivotArea>
    </format>
    <format dxfId="384">
      <pivotArea dataOnly="0" labelOnly="1" fieldPosition="0">
        <references count="1">
          <reference field="10" count="1">
            <x v="13"/>
          </reference>
        </references>
      </pivotArea>
    </format>
    <format dxfId="385">
      <pivotArea dataOnly="0" labelOnly="1" fieldPosition="0">
        <references count="1">
          <reference field="10" count="1">
            <x v="13"/>
          </reference>
        </references>
      </pivotArea>
    </format>
    <format dxfId="386">
      <pivotArea dataOnly="0" labelOnly="1" fieldPosition="0">
        <references count="1">
          <reference field="10" count="1">
            <x v="13"/>
          </reference>
        </references>
      </pivotArea>
    </format>
    <format dxfId="387">
      <pivotArea dataOnly="0" labelOnly="1" fieldPosition="0">
        <references count="1">
          <reference field="10" count="1">
            <x v="13"/>
          </reference>
        </references>
      </pivotArea>
    </format>
    <format dxfId="388">
      <pivotArea dataOnly="0" labelOnly="1" fieldPosition="0">
        <references count="1">
          <reference field="10" count="1">
            <x v="13"/>
          </reference>
        </references>
      </pivotArea>
    </format>
    <format dxfId="389">
      <pivotArea dataOnly="0" labelOnly="1" fieldPosition="0">
        <references count="1">
          <reference field="10" count="1">
            <x v="13"/>
          </reference>
        </references>
      </pivotArea>
    </format>
    <format dxfId="390">
      <pivotArea collapsedLevelsAreSubtotals="1" fieldPosition="0">
        <references count="1">
          <reference field="10" count="1">
            <x v="13"/>
          </reference>
        </references>
      </pivotArea>
    </format>
    <format dxfId="391">
      <pivotArea collapsedLevelsAreSubtotals="1" fieldPosition="0">
        <references count="1">
          <reference field="10" count="1">
            <x v="13"/>
          </reference>
        </references>
      </pivotArea>
    </format>
    <format dxfId="392">
      <pivotArea collapsedLevelsAreSubtotals="1" fieldPosition="0">
        <references count="1">
          <reference field="10" count="1">
            <x v="13"/>
          </reference>
        </references>
      </pivotArea>
    </format>
    <format dxfId="393">
      <pivotArea collapsedLevelsAreSubtotals="1" fieldPosition="0">
        <references count="1">
          <reference field="10" count="1">
            <x v="13"/>
          </reference>
        </references>
      </pivotArea>
    </format>
    <format dxfId="394">
      <pivotArea collapsedLevelsAreSubtotals="1" fieldPosition="0">
        <references count="1">
          <reference field="10" count="1">
            <x v="13"/>
          </reference>
        </references>
      </pivotArea>
    </format>
    <format dxfId="395">
      <pivotArea collapsedLevelsAreSubtotals="1" fieldPosition="0">
        <references count="1">
          <reference field="10" count="1">
            <x v="13"/>
          </reference>
        </references>
      </pivotArea>
    </format>
    <format dxfId="396">
      <pivotArea dataOnly="0" labelOnly="1" fieldPosition="0">
        <references count="1">
          <reference field="10" count="1">
            <x v="13"/>
          </reference>
        </references>
      </pivotArea>
    </format>
    <format dxfId="397">
      <pivotArea dataOnly="0" labelOnly="1" fieldPosition="0">
        <references count="1">
          <reference field="10" count="1">
            <x v="42"/>
          </reference>
        </references>
      </pivotArea>
    </format>
    <format dxfId="398">
      <pivotArea dataOnly="0" labelOnly="1" fieldPosition="0">
        <references count="1">
          <reference field="10" count="1">
            <x v="42"/>
          </reference>
        </references>
      </pivotArea>
    </format>
    <format dxfId="399">
      <pivotArea dataOnly="0" labelOnly="1" fieldPosition="0">
        <references count="1">
          <reference field="10" count="1">
            <x v="42"/>
          </reference>
        </references>
      </pivotArea>
    </format>
    <format dxfId="400">
      <pivotArea dataOnly="0" labelOnly="1" fieldPosition="0">
        <references count="1">
          <reference field="10" count="1">
            <x v="42"/>
          </reference>
        </references>
      </pivotArea>
    </format>
    <format dxfId="401">
      <pivotArea dataOnly="0" labelOnly="1" fieldPosition="0">
        <references count="1">
          <reference field="10" count="1">
            <x v="42"/>
          </reference>
        </references>
      </pivotArea>
    </format>
    <format dxfId="402">
      <pivotArea dataOnly="0" labelOnly="1" fieldPosition="0">
        <references count="1">
          <reference field="10" count="1">
            <x v="42"/>
          </reference>
        </references>
      </pivotArea>
    </format>
    <format dxfId="403">
      <pivotArea collapsedLevelsAreSubtotals="1" fieldPosition="0">
        <references count="1">
          <reference field="10" count="1">
            <x v="42"/>
          </reference>
        </references>
      </pivotArea>
    </format>
    <format dxfId="404">
      <pivotArea collapsedLevelsAreSubtotals="1" fieldPosition="0">
        <references count="1">
          <reference field="10" count="1">
            <x v="42"/>
          </reference>
        </references>
      </pivotArea>
    </format>
    <format dxfId="405">
      <pivotArea collapsedLevelsAreSubtotals="1" fieldPosition="0">
        <references count="1">
          <reference field="10" count="1">
            <x v="42"/>
          </reference>
        </references>
      </pivotArea>
    </format>
    <format dxfId="406">
      <pivotArea collapsedLevelsAreSubtotals="1" fieldPosition="0">
        <references count="1">
          <reference field="10" count="1">
            <x v="42"/>
          </reference>
        </references>
      </pivotArea>
    </format>
    <format dxfId="407">
      <pivotArea collapsedLevelsAreSubtotals="1" fieldPosition="0">
        <references count="1">
          <reference field="10" count="1">
            <x v="42"/>
          </reference>
        </references>
      </pivotArea>
    </format>
    <format dxfId="408">
      <pivotArea collapsedLevelsAreSubtotals="1" fieldPosition="0">
        <references count="1">
          <reference field="10" count="1">
            <x v="42"/>
          </reference>
        </references>
      </pivotArea>
    </format>
    <format dxfId="409">
      <pivotArea dataOnly="0" labelOnly="1" fieldPosition="0">
        <references count="1">
          <reference field="10" count="1">
            <x v="42"/>
          </reference>
        </references>
      </pivotArea>
    </format>
    <format dxfId="410">
      <pivotArea grandRow="1" outline="0" collapsedLevelsAreSubtotals="1" fieldPosition="0"/>
    </format>
    <format dxfId="411">
      <pivotArea dataOnly="0" labelOnly="1" grandRow="1" outline="0" fieldPosition="0"/>
    </format>
    <format dxfId="412">
      <pivotArea grandRow="1" outline="0" collapsedLevelsAreSubtotals="1" fieldPosition="0"/>
    </format>
    <format dxfId="413">
      <pivotArea dataOnly="0" labelOnly="1" grandRow="1" outline="0" fieldPosition="0"/>
    </format>
    <format dxfId="414">
      <pivotArea grandRow="1" outline="0" collapsedLevelsAreSubtotals="1" fieldPosition="0"/>
    </format>
    <format dxfId="415">
      <pivotArea dataOnly="0" labelOnly="1" grandRow="1" outline="0" fieldPosition="0"/>
    </format>
    <format dxfId="416">
      <pivotArea grandRow="1" outline="0" collapsedLevelsAreSubtotals="1" fieldPosition="0"/>
    </format>
    <format dxfId="417">
      <pivotArea dataOnly="0" labelOnly="1" grandRow="1" outline="0" fieldPosition="0"/>
    </format>
    <format dxfId="418">
      <pivotArea grandRow="1" outline="0" collapsedLevelsAreSubtotals="1" fieldPosition="0"/>
    </format>
    <format dxfId="419">
      <pivotArea dataOnly="0" labelOnly="1" grandRow="1" outline="0" fieldPosition="0"/>
    </format>
    <format dxfId="420">
      <pivotArea dataOnly="0" labelOnly="1" grandRow="1" outline="0" fieldPosition="0"/>
    </format>
    <format dxfId="421">
      <pivotArea grandRow="1" outline="0" collapsedLevelsAreSubtotals="1" fieldPosition="0"/>
    </format>
    <format dxfId="422">
      <pivotArea type="all" dataOnly="0" outline="0" fieldPosition="0"/>
    </format>
    <format dxfId="423">
      <pivotArea dataOnly="0" labelOnly="1" fieldPosition="0">
        <references count="1">
          <reference field="10" count="0"/>
        </references>
      </pivotArea>
    </format>
    <format dxfId="424">
      <pivotArea field="10" type="button" dataOnly="0" labelOnly="1" outline="0" axis="axisRow" fieldPosition="0"/>
    </format>
    <format dxfId="425">
      <pivotArea dataOnly="0" labelOnly="1" outline="0" axis="axisValues" fieldPosition="0"/>
    </format>
    <format dxfId="426">
      <pivotArea grandRow="1" outline="0" collapsedLevelsAreSubtotals="1" fieldPosition="0"/>
    </format>
    <format dxfId="427">
      <pivotArea dataOnly="0" labelOnly="1" grandRow="1" outline="0" fieldPosition="0"/>
    </format>
    <format dxfId="428">
      <pivotArea field="10" type="button" dataOnly="0" labelOnly="1" outline="0" axis="axisRow" fieldPosition="0"/>
    </format>
    <format dxfId="429">
      <pivotArea dataOnly="0" labelOnly="1" outline="0" axis="axisValues" fieldPosition="0"/>
    </format>
    <format dxfId="430">
      <pivotArea field="10" type="button" dataOnly="0" labelOnly="1" outline="0" axis="axisRow" fieldPosition="0"/>
    </format>
    <format dxfId="431">
      <pivotArea dataOnly="0" labelOnly="1" outline="0" axis="axisValues" fieldPosition="0"/>
    </format>
    <format dxfId="432">
      <pivotArea field="10" type="button" dataOnly="0" labelOnly="1" outline="0" axis="axisRow" fieldPosition="0"/>
    </format>
    <format dxfId="433">
      <pivotArea dataOnly="0" labelOnly="1" outline="0" axis="axisValues" fieldPosition="0"/>
    </format>
    <format dxfId="434">
      <pivotArea field="10" type="button" dataOnly="0" labelOnly="1" outline="0" axis="axisRow" fieldPosition="0"/>
    </format>
    <format dxfId="435">
      <pivotArea dataOnly="0" labelOnly="1" outline="0" axis="axisValues" fieldPosition="0"/>
    </format>
    <format dxfId="436">
      <pivotArea field="10" type="button" dataOnly="0" labelOnly="1" outline="0" axis="axisRow" fieldPosition="0"/>
    </format>
    <format dxfId="437">
      <pivotArea dataOnly="0" labelOnly="1" outline="0" axis="axisValues" fieldPosition="0"/>
    </format>
    <format dxfId="438">
      <pivotArea dataOnly="0" labelOnly="1" outline="0" axis="axisValues" fieldPosition="0"/>
    </format>
    <format dxfId="439">
      <pivotArea grandRow="1" outline="0" collapsedLevelsAreSubtotals="1" fieldPosition="0"/>
    </format>
    <format dxfId="440">
      <pivotArea dataOnly="0" labelOnly="1" grandRow="1" outline="0" fieldPosition="0"/>
    </format>
    <format dxfId="441">
      <pivotArea grandRow="1" outline="0" collapsedLevelsAreSubtotals="1" fieldPosition="0"/>
    </format>
    <format dxfId="442">
      <pivotArea dataOnly="0" labelOnly="1" grandRow="1" outline="0" fieldPosition="0"/>
    </format>
    <format dxfId="443">
      <pivotArea grandRow="1" outline="0" collapsedLevelsAreSubtotals="1" fieldPosition="0"/>
    </format>
    <format dxfId="444">
      <pivotArea dataOnly="0" labelOnly="1" grandRow="1" outline="0" fieldPosition="0"/>
    </format>
    <format dxfId="445">
      <pivotArea grandRow="1" outline="0" collapsedLevelsAreSubtotals="1" fieldPosition="0"/>
    </format>
    <format dxfId="446">
      <pivotArea dataOnly="0" labelOnly="1" grandRow="1" outline="0" fieldPosition="0"/>
    </format>
    <format dxfId="447">
      <pivotArea grandRow="1" outline="0" collapsedLevelsAreSubtotals="1" fieldPosition="0"/>
    </format>
    <format dxfId="448">
      <pivotArea dataOnly="0" labelOnly="1" grandRow="1" outline="0" fieldPosition="0"/>
    </format>
    <format dxfId="449">
      <pivotArea grandRow="1" outline="0" collapsedLevelsAreSubtotals="1" fieldPosition="0"/>
    </format>
    <format dxfId="450">
      <pivotArea dataOnly="0" labelOnly="1" grandRow="1" outline="0" fieldPosition="0"/>
    </format>
    <format dxfId="451">
      <pivotArea collapsedLevelsAreSubtotals="1" fieldPosition="0">
        <references count="1">
          <reference field="10" count="1">
            <x v="11"/>
          </reference>
        </references>
      </pivotArea>
    </format>
    <format dxfId="452">
      <pivotArea dataOnly="0" labelOnly="1" fieldPosition="0">
        <references count="1">
          <reference field="10" count="1">
            <x v="11"/>
          </reference>
        </references>
      </pivotArea>
    </format>
    <format dxfId="453">
      <pivotArea collapsedLevelsAreSubtotals="1" fieldPosition="0">
        <references count="1">
          <reference field="10" count="1">
            <x v="11"/>
          </reference>
        </references>
      </pivotArea>
    </format>
    <format dxfId="454">
      <pivotArea dataOnly="0" labelOnly="1" fieldPosition="0">
        <references count="1">
          <reference field="10" count="1">
            <x v="11"/>
          </reference>
        </references>
      </pivotArea>
    </format>
    <format dxfId="455">
      <pivotArea collapsedLevelsAreSubtotals="1" fieldPosition="0">
        <references count="1">
          <reference field="10" count="1">
            <x v="11"/>
          </reference>
        </references>
      </pivotArea>
    </format>
    <format dxfId="456">
      <pivotArea dataOnly="0" labelOnly="1" fieldPosition="0">
        <references count="1">
          <reference field="10" count="1">
            <x v="11"/>
          </reference>
        </references>
      </pivotArea>
    </format>
    <format dxfId="457">
      <pivotArea collapsedLevelsAreSubtotals="1" fieldPosition="0">
        <references count="1">
          <reference field="10" count="1">
            <x v="11"/>
          </reference>
        </references>
      </pivotArea>
    </format>
    <format dxfId="458">
      <pivotArea dataOnly="0" labelOnly="1" fieldPosition="0">
        <references count="1">
          <reference field="10" count="1">
            <x v="11"/>
          </reference>
        </references>
      </pivotArea>
    </format>
    <format dxfId="459">
      <pivotArea collapsedLevelsAreSubtotals="1" fieldPosition="0">
        <references count="1">
          <reference field="10" count="1">
            <x v="11"/>
          </reference>
        </references>
      </pivotArea>
    </format>
    <format dxfId="460">
      <pivotArea dataOnly="0" labelOnly="1" fieldPosition="0">
        <references count="1">
          <reference field="10" count="1">
            <x v="11"/>
          </reference>
        </references>
      </pivotArea>
    </format>
    <format dxfId="461">
      <pivotArea dataOnly="0" labelOnly="1" fieldPosition="0">
        <references count="1">
          <reference field="10" count="1">
            <x v="11"/>
          </reference>
        </references>
      </pivotArea>
    </format>
    <format dxfId="462">
      <pivotArea dataOnly="0" labelOnly="1" fieldPosition="0">
        <references count="1">
          <reference field="10" count="1">
            <x v="11"/>
          </reference>
        </references>
      </pivotArea>
    </format>
    <format dxfId="463">
      <pivotArea collapsedLevelsAreSubtotals="1" fieldPosition="0">
        <references count="1">
          <reference field="10" count="1">
            <x v="11"/>
          </reference>
        </references>
      </pivotArea>
    </format>
    <format dxfId="464">
      <pivotArea collapsedLevelsAreSubtotals="1" fieldPosition="0">
        <references count="1">
          <reference field="10" count="1">
            <x v="4"/>
          </reference>
        </references>
      </pivotArea>
    </format>
    <format dxfId="465">
      <pivotArea dataOnly="0" labelOnly="1" fieldPosition="0">
        <references count="1">
          <reference field="10" count="1">
            <x v="4"/>
          </reference>
        </references>
      </pivotArea>
    </format>
    <format dxfId="466">
      <pivotArea collapsedLevelsAreSubtotals="1" fieldPosition="0">
        <references count="1">
          <reference field="10" count="1">
            <x v="4"/>
          </reference>
        </references>
      </pivotArea>
    </format>
    <format dxfId="467">
      <pivotArea dataOnly="0" labelOnly="1" fieldPosition="0">
        <references count="1">
          <reference field="10" count="1">
            <x v="4"/>
          </reference>
        </references>
      </pivotArea>
    </format>
    <format dxfId="468">
      <pivotArea collapsedLevelsAreSubtotals="1" fieldPosition="0">
        <references count="1">
          <reference field="10" count="1">
            <x v="4"/>
          </reference>
        </references>
      </pivotArea>
    </format>
    <format dxfId="469">
      <pivotArea dataOnly="0" labelOnly="1" fieldPosition="0">
        <references count="1">
          <reference field="10" count="1">
            <x v="4"/>
          </reference>
        </references>
      </pivotArea>
    </format>
    <format dxfId="470">
      <pivotArea collapsedLevelsAreSubtotals="1" fieldPosition="0">
        <references count="1">
          <reference field="10" count="1">
            <x v="4"/>
          </reference>
        </references>
      </pivotArea>
    </format>
    <format dxfId="471">
      <pivotArea dataOnly="0" labelOnly="1" fieldPosition="0">
        <references count="1">
          <reference field="10" count="1">
            <x v="4"/>
          </reference>
        </references>
      </pivotArea>
    </format>
    <format dxfId="472">
      <pivotArea collapsedLevelsAreSubtotals="1" fieldPosition="0">
        <references count="1">
          <reference field="10" count="1">
            <x v="4"/>
          </reference>
        </references>
      </pivotArea>
    </format>
    <format dxfId="473">
      <pivotArea dataOnly="0" labelOnly="1" fieldPosition="0">
        <references count="1">
          <reference field="10" count="1">
            <x v="4"/>
          </reference>
        </references>
      </pivotArea>
    </format>
    <format dxfId="474">
      <pivotArea dataOnly="0" labelOnly="1" fieldPosition="0">
        <references count="1">
          <reference field="10" count="1">
            <x v="4"/>
          </reference>
        </references>
      </pivotArea>
    </format>
    <format dxfId="475">
      <pivotArea dataOnly="0" labelOnly="1" fieldPosition="0">
        <references count="1">
          <reference field="10" count="1">
            <x v="4"/>
          </reference>
        </references>
      </pivotArea>
    </format>
    <format dxfId="476">
      <pivotArea collapsedLevelsAreSubtotals="1" fieldPosition="0">
        <references count="1">
          <reference field="10" count="1">
            <x v="4"/>
          </reference>
        </references>
      </pivotArea>
    </format>
    <format dxfId="477">
      <pivotArea collapsedLevelsAreSubtotals="1" fieldPosition="0">
        <references count="1">
          <reference field="10" count="1">
            <x v="9"/>
          </reference>
        </references>
      </pivotArea>
    </format>
    <format dxfId="478">
      <pivotArea dataOnly="0" labelOnly="1" fieldPosition="0">
        <references count="1">
          <reference field="10" count="1">
            <x v="9"/>
          </reference>
        </references>
      </pivotArea>
    </format>
    <format dxfId="479">
      <pivotArea collapsedLevelsAreSubtotals="1" fieldPosition="0">
        <references count="1">
          <reference field="10" count="1">
            <x v="9"/>
          </reference>
        </references>
      </pivotArea>
    </format>
    <format dxfId="480">
      <pivotArea dataOnly="0" labelOnly="1" fieldPosition="0">
        <references count="1">
          <reference field="10" count="1">
            <x v="9"/>
          </reference>
        </references>
      </pivotArea>
    </format>
    <format dxfId="481">
      <pivotArea collapsedLevelsAreSubtotals="1" fieldPosition="0">
        <references count="1">
          <reference field="10" count="1">
            <x v="9"/>
          </reference>
        </references>
      </pivotArea>
    </format>
    <format dxfId="482">
      <pivotArea dataOnly="0" labelOnly="1" fieldPosition="0">
        <references count="1">
          <reference field="10" count="1">
            <x v="9"/>
          </reference>
        </references>
      </pivotArea>
    </format>
    <format dxfId="483">
      <pivotArea collapsedLevelsAreSubtotals="1" fieldPosition="0">
        <references count="1">
          <reference field="10" count="1">
            <x v="9"/>
          </reference>
        </references>
      </pivotArea>
    </format>
    <format dxfId="484">
      <pivotArea dataOnly="0" labelOnly="1" fieldPosition="0">
        <references count="1">
          <reference field="10" count="1">
            <x v="9"/>
          </reference>
        </references>
      </pivotArea>
    </format>
    <format dxfId="485">
      <pivotArea collapsedLevelsAreSubtotals="1" fieldPosition="0">
        <references count="1">
          <reference field="10" count="1">
            <x v="9"/>
          </reference>
        </references>
      </pivotArea>
    </format>
    <format dxfId="486">
      <pivotArea dataOnly="0" labelOnly="1" fieldPosition="0">
        <references count="1">
          <reference field="10" count="1">
            <x v="9"/>
          </reference>
        </references>
      </pivotArea>
    </format>
    <format dxfId="487">
      <pivotArea dataOnly="0" labelOnly="1" fieldPosition="0">
        <references count="1">
          <reference field="10" count="1">
            <x v="9"/>
          </reference>
        </references>
      </pivotArea>
    </format>
    <format dxfId="488">
      <pivotArea dataOnly="0" labelOnly="1" fieldPosition="0">
        <references count="1">
          <reference field="10" count="1">
            <x v="9"/>
          </reference>
        </references>
      </pivotArea>
    </format>
    <format dxfId="489">
      <pivotArea collapsedLevelsAreSubtotals="1" fieldPosition="0">
        <references count="1">
          <reference field="10" count="1">
            <x v="9"/>
          </reference>
        </references>
      </pivotArea>
    </format>
    <format dxfId="490">
      <pivotArea collapsedLevelsAreSubtotals="1" fieldPosition="0">
        <references count="1">
          <reference field="10" count="1">
            <x v="8"/>
          </reference>
        </references>
      </pivotArea>
    </format>
    <format dxfId="491">
      <pivotArea dataOnly="0" labelOnly="1" fieldPosition="0">
        <references count="1">
          <reference field="10" count="1">
            <x v="8"/>
          </reference>
        </references>
      </pivotArea>
    </format>
    <format dxfId="492">
      <pivotArea collapsedLevelsAreSubtotals="1" fieldPosition="0">
        <references count="1">
          <reference field="10" count="1">
            <x v="8"/>
          </reference>
        </references>
      </pivotArea>
    </format>
    <format dxfId="493">
      <pivotArea dataOnly="0" labelOnly="1" fieldPosition="0">
        <references count="1">
          <reference field="10" count="1">
            <x v="8"/>
          </reference>
        </references>
      </pivotArea>
    </format>
    <format dxfId="494">
      <pivotArea collapsedLevelsAreSubtotals="1" fieldPosition="0">
        <references count="1">
          <reference field="10" count="1">
            <x v="8"/>
          </reference>
        </references>
      </pivotArea>
    </format>
    <format dxfId="495">
      <pivotArea dataOnly="0" labelOnly="1" fieldPosition="0">
        <references count="1">
          <reference field="10" count="1">
            <x v="8"/>
          </reference>
        </references>
      </pivotArea>
    </format>
    <format dxfId="496">
      <pivotArea collapsedLevelsAreSubtotals="1" fieldPosition="0">
        <references count="1">
          <reference field="10" count="1">
            <x v="8"/>
          </reference>
        </references>
      </pivotArea>
    </format>
    <format dxfId="497">
      <pivotArea dataOnly="0" labelOnly="1" fieldPosition="0">
        <references count="1">
          <reference field="10" count="1">
            <x v="8"/>
          </reference>
        </references>
      </pivotArea>
    </format>
    <format dxfId="498">
      <pivotArea collapsedLevelsAreSubtotals="1" fieldPosition="0">
        <references count="1">
          <reference field="10" count="1">
            <x v="8"/>
          </reference>
        </references>
      </pivotArea>
    </format>
    <format dxfId="499">
      <pivotArea dataOnly="0" labelOnly="1" fieldPosition="0">
        <references count="1">
          <reference field="10" count="1">
            <x v="8"/>
          </reference>
        </references>
      </pivotArea>
    </format>
    <format dxfId="500">
      <pivotArea dataOnly="0" labelOnly="1" fieldPosition="0">
        <references count="1">
          <reference field="10" count="1">
            <x v="8"/>
          </reference>
        </references>
      </pivotArea>
    </format>
    <format dxfId="501">
      <pivotArea dataOnly="0" labelOnly="1" fieldPosition="0">
        <references count="1">
          <reference field="10" count="1">
            <x v="8"/>
          </reference>
        </references>
      </pivotArea>
    </format>
    <format dxfId="502">
      <pivotArea collapsedLevelsAreSubtotals="1" fieldPosition="0">
        <references count="1">
          <reference field="10" count="1">
            <x v="8"/>
          </reference>
        </references>
      </pivotArea>
    </format>
    <format dxfId="503">
      <pivotArea collapsedLevelsAreSubtotals="1" fieldPosition="0">
        <references count="1">
          <reference field="10" count="1">
            <x v="27"/>
          </reference>
        </references>
      </pivotArea>
    </format>
    <format dxfId="504">
      <pivotArea dataOnly="0" labelOnly="1" fieldPosition="0">
        <references count="1">
          <reference field="10" count="1">
            <x v="27"/>
          </reference>
        </references>
      </pivotArea>
    </format>
    <format dxfId="505">
      <pivotArea collapsedLevelsAreSubtotals="1" fieldPosition="0">
        <references count="1">
          <reference field="10" count="1">
            <x v="27"/>
          </reference>
        </references>
      </pivotArea>
    </format>
    <format dxfId="506">
      <pivotArea dataOnly="0" labelOnly="1" fieldPosition="0">
        <references count="1">
          <reference field="10" count="1">
            <x v="27"/>
          </reference>
        </references>
      </pivotArea>
    </format>
    <format dxfId="507">
      <pivotArea collapsedLevelsAreSubtotals="1" fieldPosition="0">
        <references count="1">
          <reference field="10" count="1">
            <x v="27"/>
          </reference>
        </references>
      </pivotArea>
    </format>
    <format dxfId="508">
      <pivotArea dataOnly="0" labelOnly="1" fieldPosition="0">
        <references count="1">
          <reference field="10" count="1">
            <x v="27"/>
          </reference>
        </references>
      </pivotArea>
    </format>
    <format dxfId="509">
      <pivotArea collapsedLevelsAreSubtotals="1" fieldPosition="0">
        <references count="1">
          <reference field="10" count="1">
            <x v="27"/>
          </reference>
        </references>
      </pivotArea>
    </format>
    <format dxfId="510">
      <pivotArea dataOnly="0" labelOnly="1" fieldPosition="0">
        <references count="1">
          <reference field="10" count="1">
            <x v="27"/>
          </reference>
        </references>
      </pivotArea>
    </format>
    <format dxfId="511">
      <pivotArea collapsedLevelsAreSubtotals="1" fieldPosition="0">
        <references count="1">
          <reference field="10" count="1">
            <x v="27"/>
          </reference>
        </references>
      </pivotArea>
    </format>
    <format dxfId="512">
      <pivotArea dataOnly="0" labelOnly="1" fieldPosition="0">
        <references count="1">
          <reference field="10" count="1">
            <x v="27"/>
          </reference>
        </references>
      </pivotArea>
    </format>
    <format dxfId="513">
      <pivotArea dataOnly="0" labelOnly="1" fieldPosition="0">
        <references count="1">
          <reference field="10" count="1">
            <x v="27"/>
          </reference>
        </references>
      </pivotArea>
    </format>
    <format dxfId="514">
      <pivotArea dataOnly="0" labelOnly="1" fieldPosition="0">
        <references count="1">
          <reference field="10" count="1">
            <x v="27"/>
          </reference>
        </references>
      </pivotArea>
    </format>
    <format dxfId="515">
      <pivotArea collapsedLevelsAreSubtotals="1" fieldPosition="0">
        <references count="1">
          <reference field="10" count="1">
            <x v="27"/>
          </reference>
        </references>
      </pivotArea>
    </format>
    <format dxfId="516">
      <pivotArea collapsedLevelsAreSubtotals="1" fieldPosition="0">
        <references count="1">
          <reference field="10" count="1">
            <x v="22"/>
          </reference>
        </references>
      </pivotArea>
    </format>
    <format dxfId="517">
      <pivotArea dataOnly="0" labelOnly="1" fieldPosition="0">
        <references count="1">
          <reference field="10" count="1">
            <x v="22"/>
          </reference>
        </references>
      </pivotArea>
    </format>
    <format dxfId="518">
      <pivotArea collapsedLevelsAreSubtotals="1" fieldPosition="0">
        <references count="1">
          <reference field="10" count="1">
            <x v="22"/>
          </reference>
        </references>
      </pivotArea>
    </format>
    <format dxfId="519">
      <pivotArea dataOnly="0" labelOnly="1" fieldPosition="0">
        <references count="1">
          <reference field="10" count="1">
            <x v="22"/>
          </reference>
        </references>
      </pivotArea>
    </format>
    <format dxfId="520">
      <pivotArea collapsedLevelsAreSubtotals="1" fieldPosition="0">
        <references count="1">
          <reference field="10" count="1">
            <x v="22"/>
          </reference>
        </references>
      </pivotArea>
    </format>
    <format dxfId="521">
      <pivotArea dataOnly="0" labelOnly="1" fieldPosition="0">
        <references count="1">
          <reference field="10" count="1">
            <x v="22"/>
          </reference>
        </references>
      </pivotArea>
    </format>
    <format dxfId="522">
      <pivotArea collapsedLevelsAreSubtotals="1" fieldPosition="0">
        <references count="1">
          <reference field="10" count="1">
            <x v="22"/>
          </reference>
        </references>
      </pivotArea>
    </format>
    <format dxfId="523">
      <pivotArea dataOnly="0" labelOnly="1" fieldPosition="0">
        <references count="1">
          <reference field="10" count="1">
            <x v="22"/>
          </reference>
        </references>
      </pivotArea>
    </format>
    <format dxfId="524">
      <pivotArea collapsedLevelsAreSubtotals="1" fieldPosition="0">
        <references count="1">
          <reference field="10" count="1">
            <x v="22"/>
          </reference>
        </references>
      </pivotArea>
    </format>
    <format dxfId="525">
      <pivotArea dataOnly="0" labelOnly="1" fieldPosition="0">
        <references count="1">
          <reference field="10" count="1">
            <x v="22"/>
          </reference>
        </references>
      </pivotArea>
    </format>
    <format dxfId="526">
      <pivotArea dataOnly="0" labelOnly="1" fieldPosition="0">
        <references count="1">
          <reference field="10" count="1">
            <x v="22"/>
          </reference>
        </references>
      </pivotArea>
    </format>
    <format dxfId="527">
      <pivotArea dataOnly="0" labelOnly="1" fieldPosition="0">
        <references count="1">
          <reference field="10" count="1">
            <x v="22"/>
          </reference>
        </references>
      </pivotArea>
    </format>
    <format dxfId="528">
      <pivotArea collapsedLevelsAreSubtotals="1" fieldPosition="0">
        <references count="1">
          <reference field="10" count="1">
            <x v="22"/>
          </reference>
        </references>
      </pivotArea>
    </format>
    <format dxfId="529">
      <pivotArea collapsedLevelsAreSubtotals="1" fieldPosition="0">
        <references count="1">
          <reference field="10" count="1">
            <x v="61"/>
          </reference>
        </references>
      </pivotArea>
    </format>
    <format dxfId="530">
      <pivotArea dataOnly="0" labelOnly="1" fieldPosition="0">
        <references count="1">
          <reference field="10" count="1">
            <x v="61"/>
          </reference>
        </references>
      </pivotArea>
    </format>
    <format dxfId="531">
      <pivotArea collapsedLevelsAreSubtotals="1" fieldPosition="0">
        <references count="1">
          <reference field="10" count="1">
            <x v="61"/>
          </reference>
        </references>
      </pivotArea>
    </format>
    <format dxfId="532">
      <pivotArea dataOnly="0" labelOnly="1" fieldPosition="0">
        <references count="1">
          <reference field="10" count="1">
            <x v="61"/>
          </reference>
        </references>
      </pivotArea>
    </format>
    <format dxfId="533">
      <pivotArea collapsedLevelsAreSubtotals="1" fieldPosition="0">
        <references count="1">
          <reference field="10" count="1">
            <x v="61"/>
          </reference>
        </references>
      </pivotArea>
    </format>
    <format dxfId="534">
      <pivotArea dataOnly="0" labelOnly="1" fieldPosition="0">
        <references count="1">
          <reference field="10" count="1">
            <x v="61"/>
          </reference>
        </references>
      </pivotArea>
    </format>
    <format dxfId="535">
      <pivotArea collapsedLevelsAreSubtotals="1" fieldPosition="0">
        <references count="1">
          <reference field="10" count="1">
            <x v="61"/>
          </reference>
        </references>
      </pivotArea>
    </format>
    <format dxfId="536">
      <pivotArea dataOnly="0" labelOnly="1" fieldPosition="0">
        <references count="1">
          <reference field="10" count="1">
            <x v="61"/>
          </reference>
        </references>
      </pivotArea>
    </format>
    <format dxfId="537">
      <pivotArea collapsedLevelsAreSubtotals="1" fieldPosition="0">
        <references count="1">
          <reference field="10" count="1">
            <x v="61"/>
          </reference>
        </references>
      </pivotArea>
    </format>
    <format dxfId="538">
      <pivotArea dataOnly="0" labelOnly="1" fieldPosition="0">
        <references count="1">
          <reference field="10" count="1">
            <x v="61"/>
          </reference>
        </references>
      </pivotArea>
    </format>
    <format dxfId="539">
      <pivotArea dataOnly="0" labelOnly="1" fieldPosition="0">
        <references count="1">
          <reference field="10" count="1">
            <x v="61"/>
          </reference>
        </references>
      </pivotArea>
    </format>
    <format dxfId="540">
      <pivotArea dataOnly="0" labelOnly="1" fieldPosition="0">
        <references count="1">
          <reference field="10" count="1">
            <x v="61"/>
          </reference>
        </references>
      </pivotArea>
    </format>
    <format dxfId="541">
      <pivotArea collapsedLevelsAreSubtotals="1" fieldPosition="0">
        <references count="1">
          <reference field="10" count="1">
            <x v="61"/>
          </reference>
        </references>
      </pivotArea>
    </format>
    <format dxfId="542">
      <pivotArea collapsedLevelsAreSubtotals="1" fieldPosition="0">
        <references count="1">
          <reference field="10" count="1">
            <x v="28"/>
          </reference>
        </references>
      </pivotArea>
    </format>
    <format dxfId="543">
      <pivotArea dataOnly="0" labelOnly="1" fieldPosition="0">
        <references count="1">
          <reference field="10" count="1">
            <x v="28"/>
          </reference>
        </references>
      </pivotArea>
    </format>
    <format dxfId="544">
      <pivotArea collapsedLevelsAreSubtotals="1" fieldPosition="0">
        <references count="1">
          <reference field="10" count="1">
            <x v="28"/>
          </reference>
        </references>
      </pivotArea>
    </format>
    <format dxfId="545">
      <pivotArea dataOnly="0" labelOnly="1" fieldPosition="0">
        <references count="1">
          <reference field="10" count="1">
            <x v="28"/>
          </reference>
        </references>
      </pivotArea>
    </format>
    <format dxfId="546">
      <pivotArea collapsedLevelsAreSubtotals="1" fieldPosition="0">
        <references count="1">
          <reference field="10" count="1">
            <x v="28"/>
          </reference>
        </references>
      </pivotArea>
    </format>
    <format dxfId="547">
      <pivotArea dataOnly="0" labelOnly="1" fieldPosition="0">
        <references count="1">
          <reference field="10" count="1">
            <x v="28"/>
          </reference>
        </references>
      </pivotArea>
    </format>
    <format dxfId="548">
      <pivotArea collapsedLevelsAreSubtotals="1" fieldPosition="0">
        <references count="1">
          <reference field="10" count="1">
            <x v="28"/>
          </reference>
        </references>
      </pivotArea>
    </format>
    <format dxfId="549">
      <pivotArea dataOnly="0" labelOnly="1" fieldPosition="0">
        <references count="1">
          <reference field="10" count="1">
            <x v="28"/>
          </reference>
        </references>
      </pivotArea>
    </format>
    <format dxfId="550">
      <pivotArea collapsedLevelsAreSubtotals="1" fieldPosition="0">
        <references count="1">
          <reference field="10" count="1">
            <x v="28"/>
          </reference>
        </references>
      </pivotArea>
    </format>
    <format dxfId="551">
      <pivotArea dataOnly="0" labelOnly="1" fieldPosition="0">
        <references count="1">
          <reference field="10" count="1">
            <x v="28"/>
          </reference>
        </references>
      </pivotArea>
    </format>
    <format dxfId="552">
      <pivotArea dataOnly="0" labelOnly="1" fieldPosition="0">
        <references count="1">
          <reference field="10" count="1">
            <x v="28"/>
          </reference>
        </references>
      </pivotArea>
    </format>
    <format dxfId="553">
      <pivotArea dataOnly="0" labelOnly="1" fieldPosition="0">
        <references count="1">
          <reference field="10" count="1">
            <x v="28"/>
          </reference>
        </references>
      </pivotArea>
    </format>
    <format dxfId="554">
      <pivotArea collapsedLevelsAreSubtotals="1" fieldPosition="0">
        <references count="1">
          <reference field="10" count="1">
            <x v="28"/>
          </reference>
        </references>
      </pivotArea>
    </format>
    <format dxfId="555">
      <pivotArea collapsedLevelsAreSubtotals="1" fieldPosition="0">
        <references count="1">
          <reference field="10" count="1">
            <x v="1"/>
          </reference>
        </references>
      </pivotArea>
    </format>
    <format dxfId="556">
      <pivotArea dataOnly="0" labelOnly="1" fieldPosition="0">
        <references count="1">
          <reference field="10" count="1">
            <x v="1"/>
          </reference>
        </references>
      </pivotArea>
    </format>
    <format dxfId="557">
      <pivotArea collapsedLevelsAreSubtotals="1" fieldPosition="0">
        <references count="1">
          <reference field="10" count="1">
            <x v="1"/>
          </reference>
        </references>
      </pivotArea>
    </format>
    <format dxfId="558">
      <pivotArea dataOnly="0" labelOnly="1" fieldPosition="0">
        <references count="1">
          <reference field="10" count="1">
            <x v="1"/>
          </reference>
        </references>
      </pivotArea>
    </format>
    <format dxfId="559">
      <pivotArea collapsedLevelsAreSubtotals="1" fieldPosition="0">
        <references count="1">
          <reference field="10" count="1">
            <x v="1"/>
          </reference>
        </references>
      </pivotArea>
    </format>
    <format dxfId="560">
      <pivotArea dataOnly="0" labelOnly="1" fieldPosition="0">
        <references count="1">
          <reference field="10" count="1">
            <x v="1"/>
          </reference>
        </references>
      </pivotArea>
    </format>
    <format dxfId="561">
      <pivotArea collapsedLevelsAreSubtotals="1" fieldPosition="0">
        <references count="1">
          <reference field="10" count="1">
            <x v="1"/>
          </reference>
        </references>
      </pivotArea>
    </format>
    <format dxfId="562">
      <pivotArea dataOnly="0" labelOnly="1" fieldPosition="0">
        <references count="1">
          <reference field="10" count="1">
            <x v="1"/>
          </reference>
        </references>
      </pivotArea>
    </format>
    <format dxfId="563">
      <pivotArea collapsedLevelsAreSubtotals="1" fieldPosition="0">
        <references count="1">
          <reference field="10" count="1">
            <x v="1"/>
          </reference>
        </references>
      </pivotArea>
    </format>
    <format dxfId="564">
      <pivotArea dataOnly="0" labelOnly="1" fieldPosition="0">
        <references count="1">
          <reference field="10" count="1">
            <x v="1"/>
          </reference>
        </references>
      </pivotArea>
    </format>
    <format dxfId="565">
      <pivotArea dataOnly="0" labelOnly="1" fieldPosition="0">
        <references count="1">
          <reference field="10" count="1">
            <x v="1"/>
          </reference>
        </references>
      </pivotArea>
    </format>
    <format dxfId="566">
      <pivotArea dataOnly="0" labelOnly="1" fieldPosition="0">
        <references count="1">
          <reference field="10" count="1">
            <x v="1"/>
          </reference>
        </references>
      </pivotArea>
    </format>
    <format dxfId="567">
      <pivotArea collapsedLevelsAreSubtotals="1" fieldPosition="0">
        <references count="1">
          <reference field="10" count="1">
            <x v="1"/>
          </reference>
        </references>
      </pivotArea>
    </format>
    <format dxfId="568">
      <pivotArea collapsedLevelsAreSubtotals="1" fieldPosition="0">
        <references count="1">
          <reference field="10" count="1">
            <x v="12"/>
          </reference>
        </references>
      </pivotArea>
    </format>
    <format dxfId="569">
      <pivotArea dataOnly="0" labelOnly="1" fieldPosition="0">
        <references count="1">
          <reference field="10" count="1">
            <x v="12"/>
          </reference>
        </references>
      </pivotArea>
    </format>
    <format dxfId="570">
      <pivotArea collapsedLevelsAreSubtotals="1" fieldPosition="0">
        <references count="1">
          <reference field="10" count="1">
            <x v="12"/>
          </reference>
        </references>
      </pivotArea>
    </format>
    <format dxfId="571">
      <pivotArea dataOnly="0" labelOnly="1" fieldPosition="0">
        <references count="1">
          <reference field="10" count="1">
            <x v="12"/>
          </reference>
        </references>
      </pivotArea>
    </format>
    <format dxfId="572">
      <pivotArea collapsedLevelsAreSubtotals="1" fieldPosition="0">
        <references count="1">
          <reference field="10" count="1">
            <x v="12"/>
          </reference>
        </references>
      </pivotArea>
    </format>
    <format dxfId="573">
      <pivotArea dataOnly="0" labelOnly="1" fieldPosition="0">
        <references count="1">
          <reference field="10" count="1">
            <x v="12"/>
          </reference>
        </references>
      </pivotArea>
    </format>
    <format dxfId="574">
      <pivotArea collapsedLevelsAreSubtotals="1" fieldPosition="0">
        <references count="1">
          <reference field="10" count="1">
            <x v="12"/>
          </reference>
        </references>
      </pivotArea>
    </format>
    <format dxfId="575">
      <pivotArea dataOnly="0" labelOnly="1" fieldPosition="0">
        <references count="1">
          <reference field="10" count="1">
            <x v="12"/>
          </reference>
        </references>
      </pivotArea>
    </format>
    <format dxfId="576">
      <pivotArea collapsedLevelsAreSubtotals="1" fieldPosition="0">
        <references count="1">
          <reference field="10" count="1">
            <x v="12"/>
          </reference>
        </references>
      </pivotArea>
    </format>
    <format dxfId="577">
      <pivotArea dataOnly="0" labelOnly="1" fieldPosition="0">
        <references count="1">
          <reference field="10" count="1">
            <x v="12"/>
          </reference>
        </references>
      </pivotArea>
    </format>
    <format dxfId="578">
      <pivotArea dataOnly="0" labelOnly="1" fieldPosition="0">
        <references count="1">
          <reference field="10" count="1">
            <x v="12"/>
          </reference>
        </references>
      </pivotArea>
    </format>
    <format dxfId="579">
      <pivotArea dataOnly="0" labelOnly="1" fieldPosition="0">
        <references count="1">
          <reference field="10" count="1">
            <x v="12"/>
          </reference>
        </references>
      </pivotArea>
    </format>
    <format dxfId="580">
      <pivotArea collapsedLevelsAreSubtotals="1" fieldPosition="0">
        <references count="1">
          <reference field="10" count="1">
            <x v="12"/>
          </reference>
        </references>
      </pivotArea>
    </format>
    <format dxfId="581">
      <pivotArea collapsedLevelsAreSubtotals="1" fieldPosition="0">
        <references count="1">
          <reference field="10" count="1">
            <x v="31"/>
          </reference>
        </references>
      </pivotArea>
    </format>
    <format dxfId="582">
      <pivotArea dataOnly="0" labelOnly="1" fieldPosition="0">
        <references count="1">
          <reference field="10" count="1">
            <x v="31"/>
          </reference>
        </references>
      </pivotArea>
    </format>
    <format dxfId="583">
      <pivotArea collapsedLevelsAreSubtotals="1" fieldPosition="0">
        <references count="1">
          <reference field="10" count="1">
            <x v="31"/>
          </reference>
        </references>
      </pivotArea>
    </format>
    <format dxfId="584">
      <pivotArea dataOnly="0" labelOnly="1" fieldPosition="0">
        <references count="1">
          <reference field="10" count="1">
            <x v="31"/>
          </reference>
        </references>
      </pivotArea>
    </format>
    <format dxfId="585">
      <pivotArea collapsedLevelsAreSubtotals="1" fieldPosition="0">
        <references count="1">
          <reference field="10" count="1">
            <x v="31"/>
          </reference>
        </references>
      </pivotArea>
    </format>
    <format dxfId="586">
      <pivotArea dataOnly="0" labelOnly="1" fieldPosition="0">
        <references count="1">
          <reference field="10" count="1">
            <x v="31"/>
          </reference>
        </references>
      </pivotArea>
    </format>
    <format dxfId="587">
      <pivotArea collapsedLevelsAreSubtotals="1" fieldPosition="0">
        <references count="1">
          <reference field="10" count="1">
            <x v="31"/>
          </reference>
        </references>
      </pivotArea>
    </format>
    <format dxfId="588">
      <pivotArea dataOnly="0" labelOnly="1" fieldPosition="0">
        <references count="1">
          <reference field="10" count="1">
            <x v="31"/>
          </reference>
        </references>
      </pivotArea>
    </format>
    <format dxfId="589">
      <pivotArea collapsedLevelsAreSubtotals="1" fieldPosition="0">
        <references count="1">
          <reference field="10" count="1">
            <x v="31"/>
          </reference>
        </references>
      </pivotArea>
    </format>
    <format dxfId="590">
      <pivotArea dataOnly="0" labelOnly="1" fieldPosition="0">
        <references count="1">
          <reference field="10" count="1">
            <x v="31"/>
          </reference>
        </references>
      </pivotArea>
    </format>
    <format dxfId="591">
      <pivotArea dataOnly="0" labelOnly="1" fieldPosition="0">
        <references count="1">
          <reference field="10" count="1">
            <x v="31"/>
          </reference>
        </references>
      </pivotArea>
    </format>
    <format dxfId="592">
      <pivotArea dataOnly="0" labelOnly="1" fieldPosition="0">
        <references count="1">
          <reference field="10" count="1">
            <x v="31"/>
          </reference>
        </references>
      </pivotArea>
    </format>
    <format dxfId="593">
      <pivotArea collapsedLevelsAreSubtotals="1" fieldPosition="0">
        <references count="1">
          <reference field="10" count="1">
            <x v="31"/>
          </reference>
        </references>
      </pivotArea>
    </format>
    <format dxfId="594">
      <pivotArea collapsedLevelsAreSubtotals="1" fieldPosition="0">
        <references count="1">
          <reference field="10" count="1">
            <x v="17"/>
          </reference>
        </references>
      </pivotArea>
    </format>
    <format dxfId="595">
      <pivotArea dataOnly="0" labelOnly="1" fieldPosition="0">
        <references count="1">
          <reference field="10" count="1">
            <x v="17"/>
          </reference>
        </references>
      </pivotArea>
    </format>
    <format dxfId="596">
      <pivotArea collapsedLevelsAreSubtotals="1" fieldPosition="0">
        <references count="1">
          <reference field="10" count="1">
            <x v="17"/>
          </reference>
        </references>
      </pivotArea>
    </format>
    <format dxfId="597">
      <pivotArea dataOnly="0" labelOnly="1" fieldPosition="0">
        <references count="1">
          <reference field="10" count="1">
            <x v="17"/>
          </reference>
        </references>
      </pivotArea>
    </format>
    <format dxfId="598">
      <pivotArea collapsedLevelsAreSubtotals="1" fieldPosition="0">
        <references count="1">
          <reference field="10" count="1">
            <x v="17"/>
          </reference>
        </references>
      </pivotArea>
    </format>
    <format dxfId="599">
      <pivotArea dataOnly="0" labelOnly="1" fieldPosition="0">
        <references count="1">
          <reference field="10" count="1">
            <x v="17"/>
          </reference>
        </references>
      </pivotArea>
    </format>
    <format dxfId="600">
      <pivotArea collapsedLevelsAreSubtotals="1" fieldPosition="0">
        <references count="1">
          <reference field="10" count="1">
            <x v="17"/>
          </reference>
        </references>
      </pivotArea>
    </format>
    <format dxfId="601">
      <pivotArea dataOnly="0" labelOnly="1" fieldPosition="0">
        <references count="1">
          <reference field="10" count="1">
            <x v="17"/>
          </reference>
        </references>
      </pivotArea>
    </format>
    <format dxfId="602">
      <pivotArea collapsedLevelsAreSubtotals="1" fieldPosition="0">
        <references count="1">
          <reference field="10" count="1">
            <x v="17"/>
          </reference>
        </references>
      </pivotArea>
    </format>
    <format dxfId="603">
      <pivotArea dataOnly="0" labelOnly="1" fieldPosition="0">
        <references count="1">
          <reference field="10" count="1">
            <x v="17"/>
          </reference>
        </references>
      </pivotArea>
    </format>
    <format dxfId="604">
      <pivotArea dataOnly="0" labelOnly="1" fieldPosition="0">
        <references count="1">
          <reference field="10" count="1">
            <x v="17"/>
          </reference>
        </references>
      </pivotArea>
    </format>
    <format dxfId="605">
      <pivotArea dataOnly="0" labelOnly="1" fieldPosition="0">
        <references count="1">
          <reference field="10" count="1">
            <x v="17"/>
          </reference>
        </references>
      </pivotArea>
    </format>
    <format dxfId="606">
      <pivotArea collapsedLevelsAreSubtotals="1" fieldPosition="0">
        <references count="1">
          <reference field="10" count="1">
            <x v="17"/>
          </reference>
        </references>
      </pivotArea>
    </format>
    <format dxfId="607">
      <pivotArea collapsedLevelsAreSubtotals="1" fieldPosition="0">
        <references count="1">
          <reference field="10" count="1">
            <x v="54"/>
          </reference>
        </references>
      </pivotArea>
    </format>
    <format dxfId="608">
      <pivotArea dataOnly="0" labelOnly="1" fieldPosition="0">
        <references count="1">
          <reference field="10" count="1">
            <x v="54"/>
          </reference>
        </references>
      </pivotArea>
    </format>
    <format dxfId="609">
      <pivotArea collapsedLevelsAreSubtotals="1" fieldPosition="0">
        <references count="1">
          <reference field="10" count="1">
            <x v="54"/>
          </reference>
        </references>
      </pivotArea>
    </format>
    <format dxfId="610">
      <pivotArea dataOnly="0" labelOnly="1" fieldPosition="0">
        <references count="1">
          <reference field="10" count="1">
            <x v="54"/>
          </reference>
        </references>
      </pivotArea>
    </format>
    <format dxfId="611">
      <pivotArea collapsedLevelsAreSubtotals="1" fieldPosition="0">
        <references count="1">
          <reference field="10" count="1">
            <x v="54"/>
          </reference>
        </references>
      </pivotArea>
    </format>
    <format dxfId="612">
      <pivotArea dataOnly="0" labelOnly="1" fieldPosition="0">
        <references count="1">
          <reference field="10" count="1">
            <x v="54"/>
          </reference>
        </references>
      </pivotArea>
    </format>
    <format dxfId="613">
      <pivotArea collapsedLevelsAreSubtotals="1" fieldPosition="0">
        <references count="1">
          <reference field="10" count="1">
            <x v="54"/>
          </reference>
        </references>
      </pivotArea>
    </format>
    <format dxfId="614">
      <pivotArea dataOnly="0" labelOnly="1" fieldPosition="0">
        <references count="1">
          <reference field="10" count="1">
            <x v="54"/>
          </reference>
        </references>
      </pivotArea>
    </format>
    <format dxfId="615">
      <pivotArea collapsedLevelsAreSubtotals="1" fieldPosition="0">
        <references count="1">
          <reference field="10" count="1">
            <x v="54"/>
          </reference>
        </references>
      </pivotArea>
    </format>
    <format dxfId="616">
      <pivotArea dataOnly="0" labelOnly="1" fieldPosition="0">
        <references count="1">
          <reference field="10" count="1">
            <x v="54"/>
          </reference>
        </references>
      </pivotArea>
    </format>
    <format dxfId="617">
      <pivotArea dataOnly="0" labelOnly="1" fieldPosition="0">
        <references count="1">
          <reference field="10" count="1">
            <x v="54"/>
          </reference>
        </references>
      </pivotArea>
    </format>
    <format dxfId="618">
      <pivotArea dataOnly="0" labelOnly="1" fieldPosition="0">
        <references count="1">
          <reference field="10" count="1">
            <x v="54"/>
          </reference>
        </references>
      </pivotArea>
    </format>
    <format dxfId="619">
      <pivotArea collapsedLevelsAreSubtotals="1" fieldPosition="0">
        <references count="1">
          <reference field="10" count="1">
            <x v="54"/>
          </reference>
        </references>
      </pivotArea>
    </format>
    <format dxfId="620">
      <pivotArea collapsedLevelsAreSubtotals="1" fieldPosition="0">
        <references count="1">
          <reference field="10" count="1">
            <x v="21"/>
          </reference>
        </references>
      </pivotArea>
    </format>
    <format dxfId="621">
      <pivotArea dataOnly="0" labelOnly="1" fieldPosition="0">
        <references count="1">
          <reference field="10" count="1">
            <x v="21"/>
          </reference>
        </references>
      </pivotArea>
    </format>
    <format dxfId="622">
      <pivotArea collapsedLevelsAreSubtotals="1" fieldPosition="0">
        <references count="1">
          <reference field="10" count="1">
            <x v="21"/>
          </reference>
        </references>
      </pivotArea>
    </format>
    <format dxfId="623">
      <pivotArea dataOnly="0" labelOnly="1" fieldPosition="0">
        <references count="1">
          <reference field="10" count="1">
            <x v="21"/>
          </reference>
        </references>
      </pivotArea>
    </format>
    <format dxfId="624">
      <pivotArea collapsedLevelsAreSubtotals="1" fieldPosition="0">
        <references count="1">
          <reference field="10" count="1">
            <x v="21"/>
          </reference>
        </references>
      </pivotArea>
    </format>
    <format dxfId="625">
      <pivotArea dataOnly="0" labelOnly="1" fieldPosition="0">
        <references count="1">
          <reference field="10" count="1">
            <x v="21"/>
          </reference>
        </references>
      </pivotArea>
    </format>
    <format dxfId="626">
      <pivotArea collapsedLevelsAreSubtotals="1" fieldPosition="0">
        <references count="1">
          <reference field="10" count="1">
            <x v="21"/>
          </reference>
        </references>
      </pivotArea>
    </format>
    <format dxfId="627">
      <pivotArea dataOnly="0" labelOnly="1" fieldPosition="0">
        <references count="1">
          <reference field="10" count="1">
            <x v="21"/>
          </reference>
        </references>
      </pivotArea>
    </format>
    <format dxfId="628">
      <pivotArea collapsedLevelsAreSubtotals="1" fieldPosition="0">
        <references count="1">
          <reference field="10" count="1">
            <x v="21"/>
          </reference>
        </references>
      </pivotArea>
    </format>
    <format dxfId="629">
      <pivotArea dataOnly="0" labelOnly="1" fieldPosition="0">
        <references count="1">
          <reference field="10" count="1">
            <x v="21"/>
          </reference>
        </references>
      </pivotArea>
    </format>
    <format dxfId="630">
      <pivotArea dataOnly="0" labelOnly="1" fieldPosition="0">
        <references count="1">
          <reference field="10" count="1">
            <x v="21"/>
          </reference>
        </references>
      </pivotArea>
    </format>
    <format dxfId="631">
      <pivotArea dataOnly="0" labelOnly="1" fieldPosition="0">
        <references count="1">
          <reference field="10" count="1">
            <x v="21"/>
          </reference>
        </references>
      </pivotArea>
    </format>
    <format dxfId="632">
      <pivotArea collapsedLevelsAreSubtotals="1" fieldPosition="0">
        <references count="1">
          <reference field="10" count="1">
            <x v="21"/>
          </reference>
        </references>
      </pivotArea>
    </format>
    <format dxfId="633">
      <pivotArea collapsedLevelsAreSubtotals="1" fieldPosition="0">
        <references count="1">
          <reference field="10" count="1">
            <x v="30"/>
          </reference>
        </references>
      </pivotArea>
    </format>
    <format dxfId="634">
      <pivotArea dataOnly="0" labelOnly="1" fieldPosition="0">
        <references count="1">
          <reference field="10" count="1">
            <x v="30"/>
          </reference>
        </references>
      </pivotArea>
    </format>
    <format dxfId="635">
      <pivotArea collapsedLevelsAreSubtotals="1" fieldPosition="0">
        <references count="1">
          <reference field="10" count="1">
            <x v="30"/>
          </reference>
        </references>
      </pivotArea>
    </format>
    <format dxfId="636">
      <pivotArea dataOnly="0" labelOnly="1" fieldPosition="0">
        <references count="1">
          <reference field="10" count="1">
            <x v="30"/>
          </reference>
        </references>
      </pivotArea>
    </format>
    <format dxfId="637">
      <pivotArea collapsedLevelsAreSubtotals="1" fieldPosition="0">
        <references count="1">
          <reference field="10" count="1">
            <x v="30"/>
          </reference>
        </references>
      </pivotArea>
    </format>
    <format dxfId="638">
      <pivotArea dataOnly="0" labelOnly="1" fieldPosition="0">
        <references count="1">
          <reference field="10" count="1">
            <x v="30"/>
          </reference>
        </references>
      </pivotArea>
    </format>
    <format dxfId="639">
      <pivotArea collapsedLevelsAreSubtotals="1" fieldPosition="0">
        <references count="1">
          <reference field="10" count="1">
            <x v="30"/>
          </reference>
        </references>
      </pivotArea>
    </format>
    <format dxfId="640">
      <pivotArea dataOnly="0" labelOnly="1" fieldPosition="0">
        <references count="1">
          <reference field="10" count="1">
            <x v="30"/>
          </reference>
        </references>
      </pivotArea>
    </format>
    <format dxfId="641">
      <pivotArea collapsedLevelsAreSubtotals="1" fieldPosition="0">
        <references count="1">
          <reference field="10" count="1">
            <x v="30"/>
          </reference>
        </references>
      </pivotArea>
    </format>
    <format dxfId="642">
      <pivotArea dataOnly="0" labelOnly="1" fieldPosition="0">
        <references count="1">
          <reference field="10" count="1">
            <x v="30"/>
          </reference>
        </references>
      </pivotArea>
    </format>
    <format dxfId="643">
      <pivotArea dataOnly="0" labelOnly="1" fieldPosition="0">
        <references count="1">
          <reference field="10" count="1">
            <x v="30"/>
          </reference>
        </references>
      </pivotArea>
    </format>
    <format dxfId="644">
      <pivotArea dataOnly="0" labelOnly="1" fieldPosition="0">
        <references count="1">
          <reference field="10" count="1">
            <x v="30"/>
          </reference>
        </references>
      </pivotArea>
    </format>
    <format dxfId="645">
      <pivotArea collapsedLevelsAreSubtotals="1" fieldPosition="0">
        <references count="1">
          <reference field="10" count="1">
            <x v="30"/>
          </reference>
        </references>
      </pivotArea>
    </format>
    <format dxfId="646">
      <pivotArea collapsedLevelsAreSubtotals="1" fieldPosition="0">
        <references count="1">
          <reference field="10" count="1">
            <x v="77"/>
          </reference>
        </references>
      </pivotArea>
    </format>
    <format dxfId="647">
      <pivotArea dataOnly="0" labelOnly="1" fieldPosition="0">
        <references count="1">
          <reference field="10" count="1">
            <x v="77"/>
          </reference>
        </references>
      </pivotArea>
    </format>
    <format dxfId="648">
      <pivotArea collapsedLevelsAreSubtotals="1" fieldPosition="0">
        <references count="1">
          <reference field="10" count="1">
            <x v="77"/>
          </reference>
        </references>
      </pivotArea>
    </format>
    <format dxfId="649">
      <pivotArea dataOnly="0" labelOnly="1" fieldPosition="0">
        <references count="1">
          <reference field="10" count="1">
            <x v="77"/>
          </reference>
        </references>
      </pivotArea>
    </format>
    <format dxfId="650">
      <pivotArea collapsedLevelsAreSubtotals="1" fieldPosition="0">
        <references count="1">
          <reference field="10" count="1">
            <x v="77"/>
          </reference>
        </references>
      </pivotArea>
    </format>
    <format dxfId="651">
      <pivotArea dataOnly="0" labelOnly="1" fieldPosition="0">
        <references count="1">
          <reference field="10" count="1">
            <x v="77"/>
          </reference>
        </references>
      </pivotArea>
    </format>
    <format dxfId="652">
      <pivotArea collapsedLevelsAreSubtotals="1" fieldPosition="0">
        <references count="1">
          <reference field="10" count="1">
            <x v="77"/>
          </reference>
        </references>
      </pivotArea>
    </format>
    <format dxfId="653">
      <pivotArea dataOnly="0" labelOnly="1" fieldPosition="0">
        <references count="1">
          <reference field="10" count="1">
            <x v="77"/>
          </reference>
        </references>
      </pivotArea>
    </format>
    <format dxfId="654">
      <pivotArea collapsedLevelsAreSubtotals="1" fieldPosition="0">
        <references count="1">
          <reference field="10" count="1">
            <x v="77"/>
          </reference>
        </references>
      </pivotArea>
    </format>
    <format dxfId="655">
      <pivotArea dataOnly="0" labelOnly="1" fieldPosition="0">
        <references count="1">
          <reference field="10" count="1">
            <x v="77"/>
          </reference>
        </references>
      </pivotArea>
    </format>
    <format dxfId="656">
      <pivotArea dataOnly="0" labelOnly="1" fieldPosition="0">
        <references count="1">
          <reference field="10" count="1">
            <x v="77"/>
          </reference>
        </references>
      </pivotArea>
    </format>
    <format dxfId="657">
      <pivotArea dataOnly="0" labelOnly="1" fieldPosition="0">
        <references count="1">
          <reference field="10" count="1">
            <x v="77"/>
          </reference>
        </references>
      </pivotArea>
    </format>
    <format dxfId="658">
      <pivotArea collapsedLevelsAreSubtotals="1" fieldPosition="0">
        <references count="1">
          <reference field="10" count="1">
            <x v="77"/>
          </reference>
        </references>
      </pivotArea>
    </format>
    <format dxfId="659">
      <pivotArea collapsedLevelsAreSubtotals="1" fieldPosition="0">
        <references count="1">
          <reference field="10" count="1">
            <x v="39"/>
          </reference>
        </references>
      </pivotArea>
    </format>
    <format dxfId="660">
      <pivotArea dataOnly="0" labelOnly="1" fieldPosition="0">
        <references count="1">
          <reference field="10" count="1">
            <x v="39"/>
          </reference>
        </references>
      </pivotArea>
    </format>
    <format dxfId="661">
      <pivotArea collapsedLevelsAreSubtotals="1" fieldPosition="0">
        <references count="1">
          <reference field="10" count="1">
            <x v="39"/>
          </reference>
        </references>
      </pivotArea>
    </format>
    <format dxfId="662">
      <pivotArea dataOnly="0" labelOnly="1" fieldPosition="0">
        <references count="1">
          <reference field="10" count="1">
            <x v="39"/>
          </reference>
        </references>
      </pivotArea>
    </format>
    <format dxfId="663">
      <pivotArea collapsedLevelsAreSubtotals="1" fieldPosition="0">
        <references count="1">
          <reference field="10" count="1">
            <x v="39"/>
          </reference>
        </references>
      </pivotArea>
    </format>
    <format dxfId="664">
      <pivotArea dataOnly="0" labelOnly="1" fieldPosition="0">
        <references count="1">
          <reference field="10" count="1">
            <x v="39"/>
          </reference>
        </references>
      </pivotArea>
    </format>
    <format dxfId="665">
      <pivotArea collapsedLevelsAreSubtotals="1" fieldPosition="0">
        <references count="1">
          <reference field="10" count="1">
            <x v="39"/>
          </reference>
        </references>
      </pivotArea>
    </format>
    <format dxfId="666">
      <pivotArea dataOnly="0" labelOnly="1" fieldPosition="0">
        <references count="1">
          <reference field="10" count="1">
            <x v="39"/>
          </reference>
        </references>
      </pivotArea>
    </format>
    <format dxfId="667">
      <pivotArea collapsedLevelsAreSubtotals="1" fieldPosition="0">
        <references count="1">
          <reference field="10" count="1">
            <x v="39"/>
          </reference>
        </references>
      </pivotArea>
    </format>
    <format dxfId="668">
      <pivotArea dataOnly="0" labelOnly="1" fieldPosition="0">
        <references count="1">
          <reference field="10" count="1">
            <x v="39"/>
          </reference>
        </references>
      </pivotArea>
    </format>
    <format dxfId="669">
      <pivotArea dataOnly="0" labelOnly="1" fieldPosition="0">
        <references count="1">
          <reference field="10" count="1">
            <x v="39"/>
          </reference>
        </references>
      </pivotArea>
    </format>
    <format dxfId="670">
      <pivotArea dataOnly="0" labelOnly="1" fieldPosition="0">
        <references count="1">
          <reference field="10" count="1">
            <x v="39"/>
          </reference>
        </references>
      </pivotArea>
    </format>
    <format dxfId="671">
      <pivotArea collapsedLevelsAreSubtotals="1" fieldPosition="0">
        <references count="1">
          <reference field="10" count="1">
            <x v="39"/>
          </reference>
        </references>
      </pivotArea>
    </format>
    <format dxfId="672">
      <pivotArea collapsedLevelsAreSubtotals="1" fieldPosition="0">
        <references count="1">
          <reference field="10" count="1">
            <x v="51"/>
          </reference>
        </references>
      </pivotArea>
    </format>
    <format dxfId="673">
      <pivotArea dataOnly="0" labelOnly="1" fieldPosition="0">
        <references count="1">
          <reference field="10" count="1">
            <x v="51"/>
          </reference>
        </references>
      </pivotArea>
    </format>
    <format dxfId="674">
      <pivotArea collapsedLevelsAreSubtotals="1" fieldPosition="0">
        <references count="1">
          <reference field="10" count="1">
            <x v="51"/>
          </reference>
        </references>
      </pivotArea>
    </format>
    <format dxfId="675">
      <pivotArea dataOnly="0" labelOnly="1" fieldPosition="0">
        <references count="1">
          <reference field="10" count="1">
            <x v="51"/>
          </reference>
        </references>
      </pivotArea>
    </format>
    <format dxfId="676">
      <pivotArea collapsedLevelsAreSubtotals="1" fieldPosition="0">
        <references count="1">
          <reference field="10" count="1">
            <x v="51"/>
          </reference>
        </references>
      </pivotArea>
    </format>
    <format dxfId="677">
      <pivotArea dataOnly="0" labelOnly="1" fieldPosition="0">
        <references count="1">
          <reference field="10" count="1">
            <x v="51"/>
          </reference>
        </references>
      </pivotArea>
    </format>
    <format dxfId="678">
      <pivotArea collapsedLevelsAreSubtotals="1" fieldPosition="0">
        <references count="1">
          <reference field="10" count="1">
            <x v="51"/>
          </reference>
        </references>
      </pivotArea>
    </format>
    <format dxfId="679">
      <pivotArea dataOnly="0" labelOnly="1" fieldPosition="0">
        <references count="1">
          <reference field="10" count="1">
            <x v="51"/>
          </reference>
        </references>
      </pivotArea>
    </format>
    <format dxfId="680">
      <pivotArea collapsedLevelsAreSubtotals="1" fieldPosition="0">
        <references count="1">
          <reference field="10" count="1">
            <x v="51"/>
          </reference>
        </references>
      </pivotArea>
    </format>
    <format dxfId="681">
      <pivotArea dataOnly="0" labelOnly="1" fieldPosition="0">
        <references count="1">
          <reference field="10" count="1">
            <x v="51"/>
          </reference>
        </references>
      </pivotArea>
    </format>
    <format dxfId="682">
      <pivotArea dataOnly="0" labelOnly="1" fieldPosition="0">
        <references count="1">
          <reference field="10" count="1">
            <x v="51"/>
          </reference>
        </references>
      </pivotArea>
    </format>
    <format dxfId="683">
      <pivotArea dataOnly="0" labelOnly="1" fieldPosition="0">
        <references count="1">
          <reference field="10" count="1">
            <x v="51"/>
          </reference>
        </references>
      </pivotArea>
    </format>
    <format dxfId="684">
      <pivotArea collapsedLevelsAreSubtotals="1" fieldPosition="0">
        <references count="1">
          <reference field="10" count="1">
            <x v="51"/>
          </reference>
        </references>
      </pivotArea>
    </format>
    <format dxfId="685">
      <pivotArea collapsedLevelsAreSubtotals="1" fieldPosition="0">
        <references count="1">
          <reference field="10" count="1">
            <x v="76"/>
          </reference>
        </references>
      </pivotArea>
    </format>
    <format dxfId="686">
      <pivotArea dataOnly="0" labelOnly="1" fieldPosition="0">
        <references count="1">
          <reference field="10" count="1">
            <x v="76"/>
          </reference>
        </references>
      </pivotArea>
    </format>
    <format dxfId="687">
      <pivotArea collapsedLevelsAreSubtotals="1" fieldPosition="0">
        <references count="1">
          <reference field="10" count="1">
            <x v="76"/>
          </reference>
        </references>
      </pivotArea>
    </format>
    <format dxfId="688">
      <pivotArea dataOnly="0" labelOnly="1" fieldPosition="0">
        <references count="1">
          <reference field="10" count="1">
            <x v="76"/>
          </reference>
        </references>
      </pivotArea>
    </format>
    <format dxfId="689">
      <pivotArea collapsedLevelsAreSubtotals="1" fieldPosition="0">
        <references count="1">
          <reference field="10" count="1">
            <x v="76"/>
          </reference>
        </references>
      </pivotArea>
    </format>
    <format dxfId="690">
      <pivotArea dataOnly="0" labelOnly="1" fieldPosition="0">
        <references count="1">
          <reference field="10" count="1">
            <x v="76"/>
          </reference>
        </references>
      </pivotArea>
    </format>
    <format dxfId="691">
      <pivotArea collapsedLevelsAreSubtotals="1" fieldPosition="0">
        <references count="1">
          <reference field="10" count="1">
            <x v="76"/>
          </reference>
        </references>
      </pivotArea>
    </format>
    <format dxfId="692">
      <pivotArea dataOnly="0" labelOnly="1" fieldPosition="0">
        <references count="1">
          <reference field="10" count="1">
            <x v="76"/>
          </reference>
        </references>
      </pivotArea>
    </format>
    <format dxfId="693">
      <pivotArea collapsedLevelsAreSubtotals="1" fieldPosition="0">
        <references count="1">
          <reference field="10" count="1">
            <x v="76"/>
          </reference>
        </references>
      </pivotArea>
    </format>
    <format dxfId="694">
      <pivotArea dataOnly="0" labelOnly="1" fieldPosition="0">
        <references count="1">
          <reference field="10" count="1">
            <x v="76"/>
          </reference>
        </references>
      </pivotArea>
    </format>
    <format dxfId="695">
      <pivotArea dataOnly="0" labelOnly="1" fieldPosition="0">
        <references count="1">
          <reference field="10" count="1">
            <x v="76"/>
          </reference>
        </references>
      </pivotArea>
    </format>
    <format dxfId="696">
      <pivotArea dataOnly="0" labelOnly="1" fieldPosition="0">
        <references count="1">
          <reference field="10" count="1">
            <x v="76"/>
          </reference>
        </references>
      </pivotArea>
    </format>
    <format dxfId="697">
      <pivotArea collapsedLevelsAreSubtotals="1" fieldPosition="0">
        <references count="1">
          <reference field="10" count="1">
            <x v="76"/>
          </reference>
        </references>
      </pivotArea>
    </format>
    <format dxfId="698">
      <pivotArea collapsedLevelsAreSubtotals="1" fieldPosition="0">
        <references count="1">
          <reference field="10" count="1">
            <x v="74"/>
          </reference>
        </references>
      </pivotArea>
    </format>
    <format dxfId="699">
      <pivotArea dataOnly="0" labelOnly="1" fieldPosition="0">
        <references count="1">
          <reference field="10" count="1">
            <x v="74"/>
          </reference>
        </references>
      </pivotArea>
    </format>
    <format dxfId="700">
      <pivotArea collapsedLevelsAreSubtotals="1" fieldPosition="0">
        <references count="1">
          <reference field="10" count="1">
            <x v="74"/>
          </reference>
        </references>
      </pivotArea>
    </format>
    <format dxfId="701">
      <pivotArea dataOnly="0" labelOnly="1" fieldPosition="0">
        <references count="1">
          <reference field="10" count="1">
            <x v="74"/>
          </reference>
        </references>
      </pivotArea>
    </format>
    <format dxfId="702">
      <pivotArea collapsedLevelsAreSubtotals="1" fieldPosition="0">
        <references count="1">
          <reference field="10" count="1">
            <x v="74"/>
          </reference>
        </references>
      </pivotArea>
    </format>
    <format dxfId="703">
      <pivotArea dataOnly="0" labelOnly="1" fieldPosition="0">
        <references count="1">
          <reference field="10" count="1">
            <x v="74"/>
          </reference>
        </references>
      </pivotArea>
    </format>
    <format dxfId="704">
      <pivotArea collapsedLevelsAreSubtotals="1" fieldPosition="0">
        <references count="1">
          <reference field="10" count="1">
            <x v="74"/>
          </reference>
        </references>
      </pivotArea>
    </format>
    <format dxfId="705">
      <pivotArea dataOnly="0" labelOnly="1" fieldPosition="0">
        <references count="1">
          <reference field="10" count="1">
            <x v="74"/>
          </reference>
        </references>
      </pivotArea>
    </format>
    <format dxfId="706">
      <pivotArea collapsedLevelsAreSubtotals="1" fieldPosition="0">
        <references count="1">
          <reference field="10" count="1">
            <x v="74"/>
          </reference>
        </references>
      </pivotArea>
    </format>
    <format dxfId="707">
      <pivotArea dataOnly="0" labelOnly="1" fieldPosition="0">
        <references count="1">
          <reference field="10" count="1">
            <x v="74"/>
          </reference>
        </references>
      </pivotArea>
    </format>
    <format dxfId="708">
      <pivotArea dataOnly="0" labelOnly="1" fieldPosition="0">
        <references count="1">
          <reference field="10" count="1">
            <x v="74"/>
          </reference>
        </references>
      </pivotArea>
    </format>
    <format dxfId="709">
      <pivotArea dataOnly="0" labelOnly="1" fieldPosition="0">
        <references count="1">
          <reference field="10" count="1">
            <x v="74"/>
          </reference>
        </references>
      </pivotArea>
    </format>
    <format dxfId="710">
      <pivotArea collapsedLevelsAreSubtotals="1" fieldPosition="0">
        <references count="1">
          <reference field="10" count="1">
            <x v="74"/>
          </reference>
        </references>
      </pivotArea>
    </format>
    <format dxfId="711">
      <pivotArea collapsedLevelsAreSubtotals="1" fieldPosition="0">
        <references count="1">
          <reference field="10" count="1">
            <x v="69"/>
          </reference>
        </references>
      </pivotArea>
    </format>
    <format dxfId="712">
      <pivotArea dataOnly="0" labelOnly="1" fieldPosition="0">
        <references count="1">
          <reference field="10" count="1">
            <x v="69"/>
          </reference>
        </references>
      </pivotArea>
    </format>
    <format dxfId="713">
      <pivotArea collapsedLevelsAreSubtotals="1" fieldPosition="0">
        <references count="1">
          <reference field="10" count="1">
            <x v="69"/>
          </reference>
        </references>
      </pivotArea>
    </format>
    <format dxfId="714">
      <pivotArea dataOnly="0" labelOnly="1" fieldPosition="0">
        <references count="1">
          <reference field="10" count="1">
            <x v="69"/>
          </reference>
        </references>
      </pivotArea>
    </format>
    <format dxfId="715">
      <pivotArea collapsedLevelsAreSubtotals="1" fieldPosition="0">
        <references count="1">
          <reference field="10" count="1">
            <x v="69"/>
          </reference>
        </references>
      </pivotArea>
    </format>
    <format dxfId="716">
      <pivotArea dataOnly="0" labelOnly="1" fieldPosition="0">
        <references count="1">
          <reference field="10" count="1">
            <x v="69"/>
          </reference>
        </references>
      </pivotArea>
    </format>
    <format dxfId="717">
      <pivotArea collapsedLevelsAreSubtotals="1" fieldPosition="0">
        <references count="1">
          <reference field="10" count="1">
            <x v="69"/>
          </reference>
        </references>
      </pivotArea>
    </format>
    <format dxfId="718">
      <pivotArea dataOnly="0" labelOnly="1" fieldPosition="0">
        <references count="1">
          <reference field="10" count="1">
            <x v="69"/>
          </reference>
        </references>
      </pivotArea>
    </format>
    <format dxfId="719">
      <pivotArea collapsedLevelsAreSubtotals="1" fieldPosition="0">
        <references count="1">
          <reference field="10" count="1">
            <x v="69"/>
          </reference>
        </references>
      </pivotArea>
    </format>
    <format dxfId="720">
      <pivotArea dataOnly="0" labelOnly="1" fieldPosition="0">
        <references count="1">
          <reference field="10" count="1">
            <x v="69"/>
          </reference>
        </references>
      </pivotArea>
    </format>
    <format dxfId="721">
      <pivotArea dataOnly="0" labelOnly="1" fieldPosition="0">
        <references count="1">
          <reference field="10" count="1">
            <x v="69"/>
          </reference>
        </references>
      </pivotArea>
    </format>
    <format dxfId="722">
      <pivotArea dataOnly="0" labelOnly="1" fieldPosition="0">
        <references count="1">
          <reference field="10" count="1">
            <x v="69"/>
          </reference>
        </references>
      </pivotArea>
    </format>
    <format dxfId="723">
      <pivotArea collapsedLevelsAreSubtotals="1" fieldPosition="0">
        <references count="1">
          <reference field="10" count="1">
            <x v="69"/>
          </reference>
        </references>
      </pivotArea>
    </format>
    <format dxfId="724">
      <pivotArea collapsedLevelsAreSubtotals="1" fieldPosition="0">
        <references count="1">
          <reference field="10" count="1">
            <x v="38"/>
          </reference>
        </references>
      </pivotArea>
    </format>
    <format dxfId="725">
      <pivotArea dataOnly="0" labelOnly="1" fieldPosition="0">
        <references count="1">
          <reference field="10" count="1">
            <x v="38"/>
          </reference>
        </references>
      </pivotArea>
    </format>
    <format dxfId="726">
      <pivotArea collapsedLevelsAreSubtotals="1" fieldPosition="0">
        <references count="1">
          <reference field="10" count="1">
            <x v="38"/>
          </reference>
        </references>
      </pivotArea>
    </format>
    <format dxfId="727">
      <pivotArea dataOnly="0" labelOnly="1" fieldPosition="0">
        <references count="1">
          <reference field="10" count="1">
            <x v="38"/>
          </reference>
        </references>
      </pivotArea>
    </format>
    <format dxfId="728">
      <pivotArea collapsedLevelsAreSubtotals="1" fieldPosition="0">
        <references count="1">
          <reference field="10" count="1">
            <x v="38"/>
          </reference>
        </references>
      </pivotArea>
    </format>
    <format dxfId="729">
      <pivotArea dataOnly="0" labelOnly="1" fieldPosition="0">
        <references count="1">
          <reference field="10" count="1">
            <x v="38"/>
          </reference>
        </references>
      </pivotArea>
    </format>
    <format dxfId="730">
      <pivotArea collapsedLevelsAreSubtotals="1" fieldPosition="0">
        <references count="1">
          <reference field="10" count="1">
            <x v="38"/>
          </reference>
        </references>
      </pivotArea>
    </format>
    <format dxfId="731">
      <pivotArea dataOnly="0" labelOnly="1" fieldPosition="0">
        <references count="1">
          <reference field="10" count="1">
            <x v="38"/>
          </reference>
        </references>
      </pivotArea>
    </format>
    <format dxfId="732">
      <pivotArea collapsedLevelsAreSubtotals="1" fieldPosition="0">
        <references count="1">
          <reference field="10" count="1">
            <x v="38"/>
          </reference>
        </references>
      </pivotArea>
    </format>
    <format dxfId="733">
      <pivotArea dataOnly="0" labelOnly="1" fieldPosition="0">
        <references count="1">
          <reference field="10" count="1">
            <x v="38"/>
          </reference>
        </references>
      </pivotArea>
    </format>
    <format dxfId="734">
      <pivotArea dataOnly="0" labelOnly="1" fieldPosition="0">
        <references count="1">
          <reference field="10" count="1">
            <x v="38"/>
          </reference>
        </references>
      </pivotArea>
    </format>
    <format dxfId="735">
      <pivotArea dataOnly="0" labelOnly="1" fieldPosition="0">
        <references count="1">
          <reference field="10" count="1">
            <x v="38"/>
          </reference>
        </references>
      </pivotArea>
    </format>
    <format dxfId="736">
      <pivotArea collapsedLevelsAreSubtotals="1" fieldPosition="0">
        <references count="1">
          <reference field="10" count="1">
            <x v="38"/>
          </reference>
        </references>
      </pivotArea>
    </format>
    <format dxfId="737">
      <pivotArea collapsedLevelsAreSubtotals="1" fieldPosition="0">
        <references count="1">
          <reference field="10" count="1">
            <x v="75"/>
          </reference>
        </references>
      </pivotArea>
    </format>
    <format dxfId="738">
      <pivotArea dataOnly="0" labelOnly="1" fieldPosition="0">
        <references count="1">
          <reference field="10" count="1">
            <x v="75"/>
          </reference>
        </references>
      </pivotArea>
    </format>
    <format dxfId="739">
      <pivotArea collapsedLevelsAreSubtotals="1" fieldPosition="0">
        <references count="1">
          <reference field="10" count="1">
            <x v="75"/>
          </reference>
        </references>
      </pivotArea>
    </format>
    <format dxfId="740">
      <pivotArea dataOnly="0" labelOnly="1" fieldPosition="0">
        <references count="1">
          <reference field="10" count="1">
            <x v="75"/>
          </reference>
        </references>
      </pivotArea>
    </format>
    <format dxfId="741">
      <pivotArea collapsedLevelsAreSubtotals="1" fieldPosition="0">
        <references count="1">
          <reference field="10" count="1">
            <x v="75"/>
          </reference>
        </references>
      </pivotArea>
    </format>
    <format dxfId="742">
      <pivotArea dataOnly="0" labelOnly="1" fieldPosition="0">
        <references count="1">
          <reference field="10" count="1">
            <x v="75"/>
          </reference>
        </references>
      </pivotArea>
    </format>
    <format dxfId="743">
      <pivotArea collapsedLevelsAreSubtotals="1" fieldPosition="0">
        <references count="1">
          <reference field="10" count="1">
            <x v="75"/>
          </reference>
        </references>
      </pivotArea>
    </format>
    <format dxfId="744">
      <pivotArea dataOnly="0" labelOnly="1" fieldPosition="0">
        <references count="1">
          <reference field="10" count="1">
            <x v="75"/>
          </reference>
        </references>
      </pivotArea>
    </format>
    <format dxfId="745">
      <pivotArea collapsedLevelsAreSubtotals="1" fieldPosition="0">
        <references count="1">
          <reference field="10" count="1">
            <x v="75"/>
          </reference>
        </references>
      </pivotArea>
    </format>
    <format dxfId="746">
      <pivotArea dataOnly="0" labelOnly="1" fieldPosition="0">
        <references count="1">
          <reference field="10" count="1">
            <x v="75"/>
          </reference>
        </references>
      </pivotArea>
    </format>
    <format dxfId="747">
      <pivotArea dataOnly="0" labelOnly="1" fieldPosition="0">
        <references count="1">
          <reference field="10" count="1">
            <x v="75"/>
          </reference>
        </references>
      </pivotArea>
    </format>
    <format dxfId="748">
      <pivotArea dataOnly="0" labelOnly="1" fieldPosition="0">
        <references count="1">
          <reference field="10" count="1">
            <x v="75"/>
          </reference>
        </references>
      </pivotArea>
    </format>
    <format dxfId="749">
      <pivotArea collapsedLevelsAreSubtotals="1" fieldPosition="0">
        <references count="1">
          <reference field="10" count="1">
            <x v="75"/>
          </reference>
        </references>
      </pivotArea>
    </format>
    <format dxfId="750">
      <pivotArea collapsedLevelsAreSubtotals="1" fieldPosition="0">
        <references count="1">
          <reference field="10" count="1">
            <x v="59"/>
          </reference>
        </references>
      </pivotArea>
    </format>
    <format dxfId="751">
      <pivotArea dataOnly="0" labelOnly="1" fieldPosition="0">
        <references count="1">
          <reference field="10" count="1">
            <x v="59"/>
          </reference>
        </references>
      </pivotArea>
    </format>
    <format dxfId="752">
      <pivotArea collapsedLevelsAreSubtotals="1" fieldPosition="0">
        <references count="1">
          <reference field="10" count="1">
            <x v="59"/>
          </reference>
        </references>
      </pivotArea>
    </format>
    <format dxfId="753">
      <pivotArea dataOnly="0" labelOnly="1" fieldPosition="0">
        <references count="1">
          <reference field="10" count="1">
            <x v="59"/>
          </reference>
        </references>
      </pivotArea>
    </format>
    <format dxfId="754">
      <pivotArea collapsedLevelsAreSubtotals="1" fieldPosition="0">
        <references count="1">
          <reference field="10" count="1">
            <x v="59"/>
          </reference>
        </references>
      </pivotArea>
    </format>
    <format dxfId="755">
      <pivotArea dataOnly="0" labelOnly="1" fieldPosition="0">
        <references count="1">
          <reference field="10" count="1">
            <x v="59"/>
          </reference>
        </references>
      </pivotArea>
    </format>
    <format dxfId="756">
      <pivotArea collapsedLevelsAreSubtotals="1" fieldPosition="0">
        <references count="1">
          <reference field="10" count="1">
            <x v="59"/>
          </reference>
        </references>
      </pivotArea>
    </format>
    <format dxfId="757">
      <pivotArea dataOnly="0" labelOnly="1" fieldPosition="0">
        <references count="1">
          <reference field="10" count="1">
            <x v="59"/>
          </reference>
        </references>
      </pivotArea>
    </format>
    <format dxfId="758">
      <pivotArea collapsedLevelsAreSubtotals="1" fieldPosition="0">
        <references count="1">
          <reference field="10" count="1">
            <x v="59"/>
          </reference>
        </references>
      </pivotArea>
    </format>
    <format dxfId="759">
      <pivotArea dataOnly="0" labelOnly="1" fieldPosition="0">
        <references count="1">
          <reference field="10" count="1">
            <x v="59"/>
          </reference>
        </references>
      </pivotArea>
    </format>
    <format dxfId="760">
      <pivotArea dataOnly="0" labelOnly="1" fieldPosition="0">
        <references count="1">
          <reference field="10" count="1">
            <x v="59"/>
          </reference>
        </references>
      </pivotArea>
    </format>
    <format dxfId="761">
      <pivotArea dataOnly="0" labelOnly="1" fieldPosition="0">
        <references count="1">
          <reference field="10" count="1">
            <x v="59"/>
          </reference>
        </references>
      </pivotArea>
    </format>
    <format dxfId="762">
      <pivotArea collapsedLevelsAreSubtotals="1" fieldPosition="0">
        <references count="1">
          <reference field="10" count="1">
            <x v="59"/>
          </reference>
        </references>
      </pivotArea>
    </format>
    <format dxfId="763">
      <pivotArea collapsedLevelsAreSubtotals="1" fieldPosition="0">
        <references count="1">
          <reference field="10" count="1">
            <x v="44"/>
          </reference>
        </references>
      </pivotArea>
    </format>
    <format dxfId="764">
      <pivotArea dataOnly="0" labelOnly="1" fieldPosition="0">
        <references count="1">
          <reference field="10" count="1">
            <x v="44"/>
          </reference>
        </references>
      </pivotArea>
    </format>
    <format dxfId="765">
      <pivotArea collapsedLevelsAreSubtotals="1" fieldPosition="0">
        <references count="1">
          <reference field="10" count="1">
            <x v="44"/>
          </reference>
        </references>
      </pivotArea>
    </format>
    <format dxfId="766">
      <pivotArea dataOnly="0" labelOnly="1" fieldPosition="0">
        <references count="1">
          <reference field="10" count="1">
            <x v="44"/>
          </reference>
        </references>
      </pivotArea>
    </format>
    <format dxfId="767">
      <pivotArea collapsedLevelsAreSubtotals="1" fieldPosition="0">
        <references count="1">
          <reference field="10" count="1">
            <x v="44"/>
          </reference>
        </references>
      </pivotArea>
    </format>
    <format dxfId="768">
      <pivotArea dataOnly="0" labelOnly="1" fieldPosition="0">
        <references count="1">
          <reference field="10" count="1">
            <x v="44"/>
          </reference>
        </references>
      </pivotArea>
    </format>
    <format dxfId="769">
      <pivotArea collapsedLevelsAreSubtotals="1" fieldPosition="0">
        <references count="1">
          <reference field="10" count="1">
            <x v="44"/>
          </reference>
        </references>
      </pivotArea>
    </format>
    <format dxfId="770">
      <pivotArea dataOnly="0" labelOnly="1" fieldPosition="0">
        <references count="1">
          <reference field="10" count="1">
            <x v="44"/>
          </reference>
        </references>
      </pivotArea>
    </format>
    <format dxfId="771">
      <pivotArea collapsedLevelsAreSubtotals="1" fieldPosition="0">
        <references count="1">
          <reference field="10" count="1">
            <x v="44"/>
          </reference>
        </references>
      </pivotArea>
    </format>
    <format dxfId="772">
      <pivotArea dataOnly="0" labelOnly="1" fieldPosition="0">
        <references count="1">
          <reference field="10" count="1">
            <x v="44"/>
          </reference>
        </references>
      </pivotArea>
    </format>
    <format dxfId="773">
      <pivotArea dataOnly="0" labelOnly="1" fieldPosition="0">
        <references count="1">
          <reference field="10" count="1">
            <x v="44"/>
          </reference>
        </references>
      </pivotArea>
    </format>
    <format dxfId="774">
      <pivotArea dataOnly="0" labelOnly="1" fieldPosition="0">
        <references count="1">
          <reference field="10" count="1">
            <x v="44"/>
          </reference>
        </references>
      </pivotArea>
    </format>
    <format dxfId="775">
      <pivotArea collapsedLevelsAreSubtotals="1" fieldPosition="0">
        <references count="1">
          <reference field="10" count="1">
            <x v="44"/>
          </reference>
        </references>
      </pivotArea>
    </format>
    <format dxfId="776">
      <pivotArea collapsedLevelsAreSubtotals="1" fieldPosition="0">
        <references count="1">
          <reference field="10" count="1">
            <x v="13"/>
          </reference>
        </references>
      </pivotArea>
    </format>
    <format dxfId="777">
      <pivotArea dataOnly="0" labelOnly="1" fieldPosition="0">
        <references count="1">
          <reference field="10" count="1">
            <x v="13"/>
          </reference>
        </references>
      </pivotArea>
    </format>
    <format dxfId="778">
      <pivotArea collapsedLevelsAreSubtotals="1" fieldPosition="0">
        <references count="1">
          <reference field="10" count="1">
            <x v="13"/>
          </reference>
        </references>
      </pivotArea>
    </format>
    <format dxfId="779">
      <pivotArea dataOnly="0" labelOnly="1" fieldPosition="0">
        <references count="1">
          <reference field="10" count="1">
            <x v="13"/>
          </reference>
        </references>
      </pivotArea>
    </format>
    <format dxfId="780">
      <pivotArea collapsedLevelsAreSubtotals="1" fieldPosition="0">
        <references count="1">
          <reference field="10" count="1">
            <x v="13"/>
          </reference>
        </references>
      </pivotArea>
    </format>
    <format dxfId="781">
      <pivotArea dataOnly="0" labelOnly="1" fieldPosition="0">
        <references count="1">
          <reference field="10" count="1">
            <x v="13"/>
          </reference>
        </references>
      </pivotArea>
    </format>
    <format dxfId="782">
      <pivotArea collapsedLevelsAreSubtotals="1" fieldPosition="0">
        <references count="1">
          <reference field="10" count="1">
            <x v="13"/>
          </reference>
        </references>
      </pivotArea>
    </format>
    <format dxfId="783">
      <pivotArea dataOnly="0" labelOnly="1" fieldPosition="0">
        <references count="1">
          <reference field="10" count="1">
            <x v="13"/>
          </reference>
        </references>
      </pivotArea>
    </format>
    <format dxfId="784">
      <pivotArea collapsedLevelsAreSubtotals="1" fieldPosition="0">
        <references count="1">
          <reference field="10" count="1">
            <x v="13"/>
          </reference>
        </references>
      </pivotArea>
    </format>
    <format dxfId="785">
      <pivotArea dataOnly="0" labelOnly="1" fieldPosition="0">
        <references count="1">
          <reference field="10" count="1">
            <x v="13"/>
          </reference>
        </references>
      </pivotArea>
    </format>
    <format dxfId="786">
      <pivotArea dataOnly="0" labelOnly="1" fieldPosition="0">
        <references count="1">
          <reference field="10" count="1">
            <x v="13"/>
          </reference>
        </references>
      </pivotArea>
    </format>
    <format dxfId="787">
      <pivotArea dataOnly="0" labelOnly="1" fieldPosition="0">
        <references count="1">
          <reference field="10" count="1">
            <x v="13"/>
          </reference>
        </references>
      </pivotArea>
    </format>
    <format dxfId="788">
      <pivotArea collapsedLevelsAreSubtotals="1" fieldPosition="0">
        <references count="1">
          <reference field="10" count="1">
            <x v="13"/>
          </reference>
        </references>
      </pivotArea>
    </format>
    <format dxfId="789">
      <pivotArea collapsedLevelsAreSubtotals="1" fieldPosition="0">
        <references count="1">
          <reference field="10" count="1">
            <x v="46"/>
          </reference>
        </references>
      </pivotArea>
    </format>
    <format dxfId="790">
      <pivotArea dataOnly="0" labelOnly="1" fieldPosition="0">
        <references count="1">
          <reference field="10" count="1">
            <x v="46"/>
          </reference>
        </references>
      </pivotArea>
    </format>
    <format dxfId="791">
      <pivotArea collapsedLevelsAreSubtotals="1" fieldPosition="0">
        <references count="1">
          <reference field="10" count="1">
            <x v="46"/>
          </reference>
        </references>
      </pivotArea>
    </format>
    <format dxfId="792">
      <pivotArea dataOnly="0" labelOnly="1" fieldPosition="0">
        <references count="1">
          <reference field="10" count="1">
            <x v="46"/>
          </reference>
        </references>
      </pivotArea>
    </format>
    <format dxfId="793">
      <pivotArea collapsedLevelsAreSubtotals="1" fieldPosition="0">
        <references count="1">
          <reference field="10" count="1">
            <x v="46"/>
          </reference>
        </references>
      </pivotArea>
    </format>
    <format dxfId="794">
      <pivotArea dataOnly="0" labelOnly="1" fieldPosition="0">
        <references count="1">
          <reference field="10" count="1">
            <x v="46"/>
          </reference>
        </references>
      </pivotArea>
    </format>
    <format dxfId="795">
      <pivotArea collapsedLevelsAreSubtotals="1" fieldPosition="0">
        <references count="1">
          <reference field="10" count="1">
            <x v="46"/>
          </reference>
        </references>
      </pivotArea>
    </format>
    <format dxfId="796">
      <pivotArea dataOnly="0" labelOnly="1" fieldPosition="0">
        <references count="1">
          <reference field="10" count="1">
            <x v="46"/>
          </reference>
        </references>
      </pivotArea>
    </format>
    <format dxfId="797">
      <pivotArea collapsedLevelsAreSubtotals="1" fieldPosition="0">
        <references count="1">
          <reference field="10" count="1">
            <x v="46"/>
          </reference>
        </references>
      </pivotArea>
    </format>
    <format dxfId="798">
      <pivotArea dataOnly="0" labelOnly="1" fieldPosition="0">
        <references count="1">
          <reference field="10" count="1">
            <x v="46"/>
          </reference>
        </references>
      </pivotArea>
    </format>
    <format dxfId="799">
      <pivotArea dataOnly="0" labelOnly="1" fieldPosition="0">
        <references count="1">
          <reference field="10" count="1">
            <x v="46"/>
          </reference>
        </references>
      </pivotArea>
    </format>
    <format dxfId="800">
      <pivotArea dataOnly="0" labelOnly="1" fieldPosition="0">
        <references count="1">
          <reference field="10" count="1">
            <x v="46"/>
          </reference>
        </references>
      </pivotArea>
    </format>
    <format dxfId="801">
      <pivotArea collapsedLevelsAreSubtotals="1" fieldPosition="0">
        <references count="1">
          <reference field="10" count="1">
            <x v="46"/>
          </reference>
        </references>
      </pivotArea>
    </format>
    <format dxfId="802">
      <pivotArea collapsedLevelsAreSubtotals="1" fieldPosition="0">
        <references count="1">
          <reference field="10" count="1">
            <x v="0"/>
          </reference>
        </references>
      </pivotArea>
    </format>
    <format dxfId="803">
      <pivotArea dataOnly="0" labelOnly="1" fieldPosition="0">
        <references count="1">
          <reference field="10" count="1">
            <x v="0"/>
          </reference>
        </references>
      </pivotArea>
    </format>
    <format dxfId="804">
      <pivotArea collapsedLevelsAreSubtotals="1" fieldPosition="0">
        <references count="1">
          <reference field="10" count="1">
            <x v="0"/>
          </reference>
        </references>
      </pivotArea>
    </format>
    <format dxfId="805">
      <pivotArea dataOnly="0" labelOnly="1" fieldPosition="0">
        <references count="1">
          <reference field="10" count="1">
            <x v="0"/>
          </reference>
        </references>
      </pivotArea>
    </format>
    <format dxfId="806">
      <pivotArea collapsedLevelsAreSubtotals="1" fieldPosition="0">
        <references count="1">
          <reference field="10" count="1">
            <x v="0"/>
          </reference>
        </references>
      </pivotArea>
    </format>
    <format dxfId="807">
      <pivotArea dataOnly="0" labelOnly="1" fieldPosition="0">
        <references count="1">
          <reference field="10" count="1">
            <x v="0"/>
          </reference>
        </references>
      </pivotArea>
    </format>
    <format dxfId="808">
      <pivotArea collapsedLevelsAreSubtotals="1" fieldPosition="0">
        <references count="1">
          <reference field="10" count="1">
            <x v="0"/>
          </reference>
        </references>
      </pivotArea>
    </format>
    <format dxfId="809">
      <pivotArea dataOnly="0" labelOnly="1" fieldPosition="0">
        <references count="1">
          <reference field="10" count="1">
            <x v="0"/>
          </reference>
        </references>
      </pivotArea>
    </format>
    <format dxfId="810">
      <pivotArea collapsedLevelsAreSubtotals="1" fieldPosition="0">
        <references count="1">
          <reference field="10" count="1">
            <x v="0"/>
          </reference>
        </references>
      </pivotArea>
    </format>
    <format dxfId="811">
      <pivotArea dataOnly="0" labelOnly="1" fieldPosition="0">
        <references count="1">
          <reference field="10" count="1">
            <x v="0"/>
          </reference>
        </references>
      </pivotArea>
    </format>
    <format dxfId="812">
      <pivotArea dataOnly="0" labelOnly="1" fieldPosition="0">
        <references count="1">
          <reference field="10" count="1">
            <x v="0"/>
          </reference>
        </references>
      </pivotArea>
    </format>
    <format dxfId="813">
      <pivotArea dataOnly="0" labelOnly="1" fieldPosition="0">
        <references count="1">
          <reference field="10" count="1">
            <x v="0"/>
          </reference>
        </references>
      </pivotArea>
    </format>
    <format dxfId="814">
      <pivotArea collapsedLevelsAreSubtotals="1" fieldPosition="0">
        <references count="1">
          <reference field="10" count="1">
            <x v="0"/>
          </reference>
        </references>
      </pivotArea>
    </format>
    <format dxfId="815">
      <pivotArea collapsedLevelsAreSubtotals="1" fieldPosition="0">
        <references count="1">
          <reference field="10" count="1">
            <x v="42"/>
          </reference>
        </references>
      </pivotArea>
    </format>
    <format dxfId="816">
      <pivotArea dataOnly="0" labelOnly="1" fieldPosition="0">
        <references count="1">
          <reference field="10" count="1">
            <x v="42"/>
          </reference>
        </references>
      </pivotArea>
    </format>
    <format dxfId="817">
      <pivotArea collapsedLevelsAreSubtotals="1" fieldPosition="0">
        <references count="1">
          <reference field="10" count="1">
            <x v="42"/>
          </reference>
        </references>
      </pivotArea>
    </format>
    <format dxfId="818">
      <pivotArea dataOnly="0" labelOnly="1" fieldPosition="0">
        <references count="1">
          <reference field="10" count="1">
            <x v="42"/>
          </reference>
        </references>
      </pivotArea>
    </format>
    <format dxfId="819">
      <pivotArea collapsedLevelsAreSubtotals="1" fieldPosition="0">
        <references count="1">
          <reference field="10" count="1">
            <x v="42"/>
          </reference>
        </references>
      </pivotArea>
    </format>
    <format dxfId="820">
      <pivotArea dataOnly="0" labelOnly="1" fieldPosition="0">
        <references count="1">
          <reference field="10" count="1">
            <x v="42"/>
          </reference>
        </references>
      </pivotArea>
    </format>
    <format dxfId="821">
      <pivotArea collapsedLevelsAreSubtotals="1" fieldPosition="0">
        <references count="1">
          <reference field="10" count="1">
            <x v="42"/>
          </reference>
        </references>
      </pivotArea>
    </format>
    <format dxfId="822">
      <pivotArea dataOnly="0" labelOnly="1" fieldPosition="0">
        <references count="1">
          <reference field="10" count="1">
            <x v="42"/>
          </reference>
        </references>
      </pivotArea>
    </format>
    <format dxfId="823">
      <pivotArea collapsedLevelsAreSubtotals="1" fieldPosition="0">
        <references count="1">
          <reference field="10" count="1">
            <x v="42"/>
          </reference>
        </references>
      </pivotArea>
    </format>
    <format dxfId="824">
      <pivotArea dataOnly="0" labelOnly="1" fieldPosition="0">
        <references count="1">
          <reference field="10" count="1">
            <x v="42"/>
          </reference>
        </references>
      </pivotArea>
    </format>
    <format dxfId="825">
      <pivotArea dataOnly="0" labelOnly="1" fieldPosition="0">
        <references count="1">
          <reference field="10" count="1">
            <x v="42"/>
          </reference>
        </references>
      </pivotArea>
    </format>
    <format dxfId="826">
      <pivotArea dataOnly="0" labelOnly="1" fieldPosition="0">
        <references count="1">
          <reference field="10" count="1">
            <x v="42"/>
          </reference>
        </references>
      </pivotArea>
    </format>
    <format dxfId="827">
      <pivotArea collapsedLevelsAreSubtotals="1" fieldPosition="0">
        <references count="1">
          <reference field="10" count="1">
            <x v="42"/>
          </reference>
        </references>
      </pivotArea>
    </format>
    <format dxfId="828">
      <pivotArea collapsedLevelsAreSubtotals="1" fieldPosition="0">
        <references count="1">
          <reference field="10" count="1">
            <x v="45"/>
          </reference>
        </references>
      </pivotArea>
    </format>
    <format dxfId="829">
      <pivotArea dataOnly="0" labelOnly="1" fieldPosition="0">
        <references count="1">
          <reference field="10" count="1">
            <x v="45"/>
          </reference>
        </references>
      </pivotArea>
    </format>
    <format dxfId="830">
      <pivotArea collapsedLevelsAreSubtotals="1" fieldPosition="0">
        <references count="1">
          <reference field="10" count="1">
            <x v="45"/>
          </reference>
        </references>
      </pivotArea>
    </format>
    <format dxfId="831">
      <pivotArea dataOnly="0" labelOnly="1" fieldPosition="0">
        <references count="1">
          <reference field="10" count="1">
            <x v="45"/>
          </reference>
        </references>
      </pivotArea>
    </format>
    <format dxfId="832">
      <pivotArea collapsedLevelsAreSubtotals="1" fieldPosition="0">
        <references count="1">
          <reference field="10" count="1">
            <x v="45"/>
          </reference>
        </references>
      </pivotArea>
    </format>
    <format dxfId="833">
      <pivotArea dataOnly="0" labelOnly="1" fieldPosition="0">
        <references count="1">
          <reference field="10" count="1">
            <x v="45"/>
          </reference>
        </references>
      </pivotArea>
    </format>
    <format dxfId="834">
      <pivotArea collapsedLevelsAreSubtotals="1" fieldPosition="0">
        <references count="1">
          <reference field="10" count="1">
            <x v="45"/>
          </reference>
        </references>
      </pivotArea>
    </format>
    <format dxfId="835">
      <pivotArea dataOnly="0" labelOnly="1" fieldPosition="0">
        <references count="1">
          <reference field="10" count="1">
            <x v="45"/>
          </reference>
        </references>
      </pivotArea>
    </format>
    <format dxfId="836">
      <pivotArea collapsedLevelsAreSubtotals="1" fieldPosition="0">
        <references count="1">
          <reference field="10" count="1">
            <x v="45"/>
          </reference>
        </references>
      </pivotArea>
    </format>
    <format dxfId="837">
      <pivotArea dataOnly="0" labelOnly="1" fieldPosition="0">
        <references count="1">
          <reference field="10" count="1">
            <x v="45"/>
          </reference>
        </references>
      </pivotArea>
    </format>
    <format dxfId="838">
      <pivotArea dataOnly="0" labelOnly="1" fieldPosition="0">
        <references count="1">
          <reference field="10" count="1">
            <x v="45"/>
          </reference>
        </references>
      </pivotArea>
    </format>
    <format dxfId="839">
      <pivotArea dataOnly="0" labelOnly="1" fieldPosition="0">
        <references count="1">
          <reference field="10" count="1">
            <x v="45"/>
          </reference>
        </references>
      </pivotArea>
    </format>
    <format dxfId="840">
      <pivotArea collapsedLevelsAreSubtotals="1" fieldPosition="0">
        <references count="1">
          <reference field="10" count="1">
            <x v="45"/>
          </reference>
        </references>
      </pivotArea>
    </format>
    <format dxfId="841">
      <pivotArea type="all" dataOnly="0" outline="0" fieldPosition="0"/>
    </format>
    <format dxfId="842">
      <pivotArea outline="0" collapsedLevelsAreSubtotals="1" fieldPosition="0"/>
    </format>
    <format dxfId="843">
      <pivotArea dataOnly="0" labelOnly="1" fieldPosition="0">
        <references count="1">
          <reference field="10" count="0"/>
        </references>
      </pivotArea>
    </format>
    <format dxfId="844">
      <pivotArea grandRow="1" outline="0" collapsedLevelsAreSubtotals="1" fieldPosition="0"/>
    </format>
    <format dxfId="845">
      <pivotArea dataOnly="0" labelOnly="1" grandRow="1" outline="0" fieldPosition="0"/>
    </format>
    <format dxfId="846">
      <pivotArea field="10" type="button" dataOnly="0" labelOnly="1" outline="0" axis="axisRow" fieldPosition="0"/>
    </format>
    <format dxfId="84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6F8092-F327-48E1-B863-9A0EDC3AD37A}" name="Tabulka2" displayName="Tabulka2" ref="A3:P10" totalsRowShown="0">
  <autoFilter ref="A3:P10" xr:uid="{906F8092-F327-48E1-B863-9A0EDC3AD37A}"/>
  <tableColumns count="16">
    <tableColumn id="1" xr3:uid="{9AC2273A-D5EA-4B0E-B78A-BB21E2169A28}" name="Status"/>
    <tableColumn id="2" xr3:uid="{F0176FD1-F110-41CD-8090-A7BD392DC36D}" name="Place"/>
    <tableColumn id="3" xr3:uid="{7048FD61-40F2-4DD5-9CD7-720F53245A56}" name="Date of opening" dataDxfId="98"/>
    <tableColumn id="4" xr3:uid="{23ED1472-5708-458D-9665-C3F6010BCE59}" name="Time to fill"/>
    <tableColumn id="5" xr3:uid="{D1468F90-7959-49C5-82E4-CD1C57ED7AE4}" name="Request for position"/>
    <tableColumn id="6" xr3:uid="{6BD67F72-5825-4FB5-AD22-29C2778BE310}" name="Division"/>
    <tableColumn id="7" xr3:uid="{22F0222A-A686-4532-8591-21323A702CE1}" name="Department"/>
    <tableColumn id="8" xr3:uid="{5D6375CF-69EB-42E9-A4D6-9A18EDF745FD}" name="Position"/>
    <tableColumn id="9" xr3:uid="{A7AD2D35-4AA4-4DE7-AFDF-4A47BDD3AA37}" name="Salary"/>
    <tableColumn id="10" xr3:uid="{C05605D8-5C61-4505-87F4-DCFD1B223ECD}" name="Hiring Manager "/>
    <tableColumn id="11" xr3:uid="{0BE6583C-15CB-4733-9947-B0A2A5441D03}" name="Generalist"/>
    <tableColumn id="12" xr3:uid="{5415144A-5ED5-4A1E-A7CE-9256A60C3736}" name="Sources"/>
    <tableColumn id="13" xr3:uid="{5FF0785A-2184-4FD9-9031-1396DD984A06}" name="Comments" dataDxfId="97"/>
    <tableColumn id="14" xr3:uid="{D0902EBD-B19E-4269-B581-D43824E34654}" name="CAP"/>
    <tableColumn id="15" xr3:uid="{95C4CE65-607D-4005-BF08-57BC8CBCAC09}" name="ACTUAL"/>
    <tableColumn id="16" xr3:uid="{77A7D5BB-D6DD-4CA3-ABD4-D8ED2AD8483A}" name="VAC"/>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3BB52E-982A-43E3-A8E3-4BE0FE37A076}" name="tblVacancies" displayName="tblVacancies" ref="A1:Q211" totalsRowShown="0" headerRowDxfId="20" headerRowBorderDxfId="18" tableBorderDxfId="19" totalsRowBorderDxfId="17">
  <autoFilter ref="A1:Q211" xr:uid="{6F3BB52E-982A-43E3-A8E3-4BE0FE37A076}"/>
  <tableColumns count="17">
    <tableColumn id="17" xr3:uid="{3BBCAA58-D5A3-4F19-AEEC-3CE9E727E35E}" name="RPL / NEW" dataDxfId="16"/>
    <tableColumn id="1" xr3:uid="{E40901AC-CF1F-46F8-98F1-ED4935818E91}" name="Comment" dataDxfId="15"/>
    <tableColumn id="2" xr3:uid="{F2C44329-3E6F-4C72-AF38-8F53B0232D7D}" name="Place" dataDxfId="14"/>
    <tableColumn id="3" xr3:uid="{8834C764-D36F-4C75-AD1E-C27A30CD51D6}" name="Date of opening" dataDxfId="13"/>
    <tableColumn id="4" xr3:uid="{226E16F6-7814-45A4-AA75-C086D7DEE939}" name="Time to fill" dataDxfId="12">
      <calculatedColumnFormula>_xlfn.DAYS(TODAY(),D2)</calculatedColumnFormula>
    </tableColumn>
    <tableColumn id="5" xr3:uid="{760B0AAC-FA36-479F-B4CE-3F504FF560B1}" name="Request for position" dataDxfId="11"/>
    <tableColumn id="6" xr3:uid="{2925AC5A-E5E7-46F5-B8B5-FE3B781FFD68}" name="Division" dataDxfId="10"/>
    <tableColumn id="7" xr3:uid="{DEE737C8-FBAE-4E5F-8E18-86D49E1DDD26}" name="Department" dataDxfId="9"/>
    <tableColumn id="8" xr3:uid="{67DB60E0-151B-460B-84E2-0A442EFF1E8D}" name="Position" dataDxfId="8"/>
    <tableColumn id="9" xr3:uid="{485481F5-C12B-4DD9-A03D-7610A6AF812D}" name="Salary" dataDxfId="7"/>
    <tableColumn id="10" xr3:uid="{57F00097-C66B-477C-A250-329FC707CE88}" name="Hiring Manager " dataDxfId="6"/>
    <tableColumn id="11" xr3:uid="{50BF6243-57A8-4BAD-AE1C-ACE45C58567D}" name="Generalist" dataDxfId="5"/>
    <tableColumn id="12" xr3:uid="{09AB0A70-CD2B-4ACB-80C1-F06503D02F50}" name="Sources" dataDxfId="4"/>
    <tableColumn id="13" xr3:uid="{A77CED00-F037-4882-84F2-0BC9307B2C3B}" name="Comments" dataDxfId="3"/>
    <tableColumn id="14" xr3:uid="{BB68995A-4CE2-4BD9-8C75-B92636A5A66A}" name="CAP" dataDxfId="2"/>
    <tableColumn id="15" xr3:uid="{C339E9D0-6643-46F2-9A9C-7DB44BDC3924}" name="ACTUAL" dataDxfId="1"/>
    <tableColumn id="16" xr3:uid="{1057B77A-A51C-43FD-B4FE-EF2B2399F8B8}" name="VAC"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E08D85-3ECD-4583-936D-DD95EA24608C}">
  <we:reference id="WA200009404" version="1.0.0.8" store="Omex"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4.bin"/><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List6"/>
  <dimension ref="A1:AD127"/>
  <sheetViews>
    <sheetView topLeftCell="A12" zoomScale="91" zoomScaleNormal="91" workbookViewId="0">
      <selection activeCell="N24" sqref="N24"/>
    </sheetView>
  </sheetViews>
  <sheetFormatPr defaultRowHeight="13.15"/>
  <cols>
    <col min="1" max="1" width="5" style="90" customWidth="1"/>
    <col min="2" max="2" width="15.5703125" customWidth="1"/>
    <col min="3" max="3" width="9" customWidth="1"/>
    <col min="4" max="4" width="12.7109375" customWidth="1"/>
    <col min="5" max="10" width="9" customWidth="1"/>
    <col min="11" max="12" width="5.42578125" customWidth="1"/>
    <col min="13" max="13" width="14.7109375" customWidth="1"/>
    <col min="14" max="29" width="14.28515625" customWidth="1"/>
  </cols>
  <sheetData>
    <row r="1" spans="1:30" ht="13.9" customHeight="1" thickBot="1">
      <c r="B1" t="s">
        <v>0</v>
      </c>
      <c r="C1" s="88" t="s">
        <v>1</v>
      </c>
      <c r="D1" t="s">
        <v>2</v>
      </c>
    </row>
    <row r="2" spans="1:30" ht="14.25" customHeight="1" thickBot="1">
      <c r="A2" s="840" t="s">
        <v>3</v>
      </c>
      <c r="B2" s="141" t="s">
        <v>4</v>
      </c>
      <c r="C2" s="143">
        <v>1896</v>
      </c>
      <c r="D2" s="141" t="str">
        <f t="shared" ref="D2:D8" si="0">VLOOKUP(B2,$M$3:$S$83,2,"nepravda")</f>
        <v>Petr Neckař</v>
      </c>
      <c r="E2" s="141"/>
      <c r="F2" s="40"/>
      <c r="G2" s="40"/>
      <c r="M2" s="77"/>
      <c r="N2" s="78"/>
      <c r="O2" s="78"/>
      <c r="P2" s="78"/>
      <c r="Q2" s="78"/>
      <c r="R2" s="79" t="s">
        <v>5</v>
      </c>
      <c r="S2" s="78"/>
      <c r="T2" s="80"/>
      <c r="U2" s="81">
        <v>44197</v>
      </c>
      <c r="V2" s="80"/>
      <c r="W2" s="81"/>
      <c r="X2" s="82"/>
      <c r="Y2" s="78"/>
      <c r="Z2" s="78"/>
      <c r="AA2" s="78"/>
      <c r="AB2" s="78"/>
      <c r="AC2" s="83"/>
      <c r="AD2" s="108"/>
    </row>
    <row r="3" spans="1:30" ht="13.9" customHeight="1" thickBot="1">
      <c r="A3" s="841"/>
      <c r="B3" s="142" t="s">
        <v>6</v>
      </c>
      <c r="C3" s="143">
        <v>177</v>
      </c>
      <c r="D3" s="141" t="str">
        <f t="shared" si="0"/>
        <v>Pavel Saidl</v>
      </c>
      <c r="E3" s="141"/>
      <c r="F3" s="40"/>
      <c r="G3" s="40"/>
      <c r="M3" s="84"/>
      <c r="N3" s="84"/>
      <c r="O3" s="84"/>
      <c r="P3" s="84"/>
      <c r="Q3" s="84"/>
      <c r="R3" s="84"/>
      <c r="S3" s="84"/>
      <c r="T3" s="84"/>
      <c r="U3" s="84"/>
      <c r="V3" s="84"/>
      <c r="W3" s="84"/>
      <c r="X3" s="84"/>
      <c r="Y3" s="84"/>
      <c r="Z3" s="84"/>
      <c r="AA3" s="84"/>
      <c r="AB3" s="84"/>
      <c r="AC3" s="84"/>
      <c r="AD3" s="108"/>
    </row>
    <row r="4" spans="1:30" ht="16.5" customHeight="1" thickBot="1">
      <c r="A4" s="841"/>
      <c r="B4" s="142" t="s">
        <v>7</v>
      </c>
      <c r="C4" s="143">
        <v>148</v>
      </c>
      <c r="D4" s="141" t="str">
        <f t="shared" si="0"/>
        <v>Petr Janatka</v>
      </c>
      <c r="E4" s="141"/>
      <c r="F4" s="40"/>
      <c r="G4" s="40"/>
      <c r="M4" s="186" t="s">
        <v>8</v>
      </c>
      <c r="N4" s="187" t="s">
        <v>9</v>
      </c>
      <c r="O4" s="187"/>
      <c r="P4" s="187"/>
      <c r="Q4" s="187"/>
      <c r="R4" s="187"/>
      <c r="S4" s="187"/>
      <c r="T4" s="187"/>
      <c r="U4" s="187"/>
      <c r="V4" s="187"/>
      <c r="W4" s="187"/>
      <c r="X4" s="188" t="s">
        <v>10</v>
      </c>
      <c r="Y4" s="189"/>
      <c r="Z4" s="190" t="s">
        <v>11</v>
      </c>
      <c r="AA4" s="189" t="s">
        <v>12</v>
      </c>
      <c r="AB4" s="189" t="s">
        <v>13</v>
      </c>
      <c r="AC4" s="189" t="s">
        <v>14</v>
      </c>
      <c r="AD4" s="144"/>
    </row>
    <row r="5" spans="1:30" ht="16.5" customHeight="1" thickBot="1">
      <c r="A5" s="841"/>
      <c r="B5" s="141" t="s">
        <v>15</v>
      </c>
      <c r="C5" s="143">
        <v>206</v>
      </c>
      <c r="D5" s="141" t="str">
        <f t="shared" si="0"/>
        <v>Roman Debkowski</v>
      </c>
      <c r="E5" s="141"/>
      <c r="F5" s="40"/>
      <c r="G5" s="40"/>
      <c r="I5" s="4"/>
      <c r="M5" s="119"/>
      <c r="N5" s="192" t="s">
        <v>16</v>
      </c>
      <c r="O5" s="193" t="s">
        <v>16</v>
      </c>
      <c r="P5" s="194" t="s">
        <v>16</v>
      </c>
      <c r="Q5" s="122" t="s">
        <v>17</v>
      </c>
      <c r="R5" s="121" t="s">
        <v>17</v>
      </c>
      <c r="S5" s="120" t="s">
        <v>18</v>
      </c>
      <c r="T5" s="183" t="s">
        <v>18</v>
      </c>
      <c r="U5" s="183" t="s">
        <v>18</v>
      </c>
      <c r="V5" s="183" t="s">
        <v>18</v>
      </c>
      <c r="W5" s="121" t="s">
        <v>18</v>
      </c>
      <c r="X5" s="123" t="s">
        <v>19</v>
      </c>
      <c r="Y5" s="124" t="s">
        <v>20</v>
      </c>
      <c r="Z5" s="125" t="s">
        <v>21</v>
      </c>
      <c r="AA5" s="125" t="s">
        <v>22</v>
      </c>
      <c r="AB5" s="125" t="s">
        <v>23</v>
      </c>
      <c r="AC5" s="125" t="s">
        <v>24</v>
      </c>
      <c r="AD5" s="107"/>
    </row>
    <row r="6" spans="1:30" ht="14.45" customHeight="1" thickBot="1">
      <c r="A6" s="841"/>
      <c r="B6" s="142" t="s">
        <v>25</v>
      </c>
      <c r="C6" s="143">
        <v>175</v>
      </c>
      <c r="D6" s="141" t="str">
        <f t="shared" si="0"/>
        <v>Marcel Majdak</v>
      </c>
      <c r="E6" s="141"/>
      <c r="F6" s="40"/>
      <c r="G6" s="40"/>
      <c r="I6" s="4"/>
      <c r="M6" s="195" t="s">
        <v>4</v>
      </c>
      <c r="N6" s="196" t="s">
        <v>26</v>
      </c>
      <c r="O6" s="197" t="s">
        <v>27</v>
      </c>
      <c r="P6" s="198"/>
      <c r="Q6" s="145"/>
      <c r="R6" s="145"/>
      <c r="S6" s="145"/>
      <c r="T6" s="145"/>
      <c r="U6" s="656"/>
      <c r="V6" s="48"/>
      <c r="W6" s="145"/>
      <c r="X6" s="199"/>
      <c r="Y6" s="145"/>
      <c r="Z6" s="145"/>
      <c r="AA6" s="145"/>
      <c r="AB6" s="145"/>
      <c r="AC6" s="496" t="s">
        <v>28</v>
      </c>
      <c r="AD6" s="146"/>
    </row>
    <row r="7" spans="1:30">
      <c r="A7" s="841"/>
      <c r="B7" s="141" t="s">
        <v>29</v>
      </c>
      <c r="C7" s="143">
        <v>143</v>
      </c>
      <c r="D7" s="141" t="str">
        <f t="shared" si="0"/>
        <v>Jan Marek</v>
      </c>
      <c r="E7" s="141"/>
      <c r="F7" s="40"/>
      <c r="G7" s="40"/>
      <c r="I7" s="4"/>
      <c r="M7" s="44" t="s">
        <v>30</v>
      </c>
      <c r="N7" s="200" t="s">
        <v>31</v>
      </c>
      <c r="O7" s="201" t="s">
        <v>32</v>
      </c>
      <c r="P7" s="147"/>
      <c r="Q7" s="200" t="s">
        <v>33</v>
      </c>
      <c r="R7" s="147" t="s">
        <v>34</v>
      </c>
      <c r="S7" s="200" t="s">
        <v>35</v>
      </c>
      <c r="T7" s="202" t="s">
        <v>36</v>
      </c>
      <c r="U7" s="202" t="s">
        <v>37</v>
      </c>
      <c r="V7" s="201" t="s">
        <v>38</v>
      </c>
      <c r="W7" s="147"/>
      <c r="X7" s="203">
        <v>8</v>
      </c>
      <c r="Y7" s="204"/>
      <c r="Z7" s="205" t="s">
        <v>39</v>
      </c>
      <c r="AA7" s="206" t="s">
        <v>12</v>
      </c>
      <c r="AB7" s="205" t="s">
        <v>40</v>
      </c>
      <c r="AC7" s="206" t="s">
        <v>41</v>
      </c>
      <c r="AD7" s="108"/>
    </row>
    <row r="8" spans="1:30" ht="14.45" customHeight="1" thickBot="1">
      <c r="A8" s="841"/>
      <c r="B8" s="141" t="s">
        <v>42</v>
      </c>
      <c r="C8" s="143">
        <v>187</v>
      </c>
      <c r="D8" s="141" t="str">
        <f t="shared" si="0"/>
        <v>Jan Krušina</v>
      </c>
      <c r="E8" s="141"/>
      <c r="F8" s="40"/>
      <c r="G8" s="40"/>
      <c r="I8" s="4"/>
      <c r="M8" s="45" t="s">
        <v>43</v>
      </c>
      <c r="N8" s="148" t="s">
        <v>44</v>
      </c>
      <c r="O8" s="240"/>
      <c r="P8" s="207"/>
      <c r="Q8" s="148" t="s">
        <v>45</v>
      </c>
      <c r="R8" s="207"/>
      <c r="S8" s="148"/>
      <c r="T8" s="241"/>
      <c r="U8" s="240"/>
      <c r="V8" s="240"/>
      <c r="W8" s="207"/>
      <c r="X8" s="208">
        <v>2</v>
      </c>
      <c r="Y8" s="209" t="s">
        <v>46</v>
      </c>
      <c r="Z8" s="210" t="s">
        <v>39</v>
      </c>
      <c r="AA8" s="242" t="s">
        <v>12</v>
      </c>
      <c r="AB8" s="210" t="s">
        <v>40</v>
      </c>
      <c r="AC8" s="242" t="s">
        <v>41</v>
      </c>
      <c r="AD8" s="144"/>
    </row>
    <row r="9" spans="1:30" ht="14.45" customHeight="1" thickBot="1">
      <c r="A9" s="841"/>
      <c r="B9" s="141"/>
      <c r="C9" s="143"/>
      <c r="D9" s="141"/>
      <c r="E9" s="141"/>
      <c r="F9" s="40"/>
      <c r="G9" s="40"/>
      <c r="I9" s="4"/>
      <c r="M9" s="211" t="s">
        <v>47</v>
      </c>
      <c r="N9" s="212" t="s">
        <v>48</v>
      </c>
      <c r="O9" s="145"/>
      <c r="P9" s="145"/>
      <c r="Q9" s="145"/>
      <c r="R9" s="145"/>
      <c r="S9" s="145"/>
      <c r="T9" s="145"/>
      <c r="U9" s="48"/>
      <c r="V9" s="48"/>
      <c r="W9" s="48"/>
      <c r="X9" s="213"/>
      <c r="Y9" s="48"/>
      <c r="Z9" s="145"/>
      <c r="AA9" s="48"/>
      <c r="AB9" s="214"/>
      <c r="AC9" s="496"/>
      <c r="AD9" s="108"/>
    </row>
    <row r="10" spans="1:30">
      <c r="A10" s="841"/>
      <c r="B10" s="142" t="s">
        <v>49</v>
      </c>
      <c r="C10" s="143">
        <v>226</v>
      </c>
      <c r="D10" s="141" t="str">
        <f t="shared" ref="D10:D46" si="1">VLOOKUP(B10,$M$3:$S$83,2,"nepravda")</f>
        <v>Martin Leš</v>
      </c>
      <c r="E10" s="141"/>
      <c r="F10" s="40"/>
      <c r="G10" s="40"/>
      <c r="I10" s="4"/>
      <c r="M10" s="44" t="s">
        <v>50</v>
      </c>
      <c r="N10" s="215" t="s">
        <v>51</v>
      </c>
      <c r="O10" s="201"/>
      <c r="P10" s="147"/>
      <c r="Q10" s="216" t="s">
        <v>52</v>
      </c>
      <c r="R10" s="191"/>
      <c r="S10" s="204" t="s">
        <v>53</v>
      </c>
      <c r="T10" s="201"/>
      <c r="U10" s="201"/>
      <c r="V10" s="201"/>
      <c r="W10" s="52"/>
      <c r="X10" s="217">
        <v>2</v>
      </c>
      <c r="Y10" s="218"/>
      <c r="Z10" s="205" t="s">
        <v>54</v>
      </c>
      <c r="AA10" s="219" t="s">
        <v>55</v>
      </c>
      <c r="AB10" s="205" t="s">
        <v>56</v>
      </c>
      <c r="AC10" s="206" t="s">
        <v>57</v>
      </c>
      <c r="AD10" s="234"/>
    </row>
    <row r="11" spans="1:30">
      <c r="A11" s="841"/>
      <c r="B11" s="141" t="s">
        <v>58</v>
      </c>
      <c r="C11" s="143">
        <v>145</v>
      </c>
      <c r="D11" s="141" t="str">
        <f t="shared" si="1"/>
        <v>Jiří Vojáček</v>
      </c>
      <c r="E11" s="141"/>
      <c r="F11" s="40"/>
      <c r="G11" s="40"/>
      <c r="I11" s="4"/>
      <c r="M11" s="291" t="s">
        <v>59</v>
      </c>
      <c r="N11" s="292" t="s">
        <v>60</v>
      </c>
      <c r="O11" s="337"/>
      <c r="P11" s="293"/>
      <c r="Q11" s="482" t="s">
        <v>61</v>
      </c>
      <c r="R11" s="497"/>
      <c r="S11" s="292"/>
      <c r="T11" s="337"/>
      <c r="U11" s="337"/>
      <c r="V11" s="337"/>
      <c r="W11" s="293"/>
      <c r="X11" s="498">
        <v>2</v>
      </c>
      <c r="Y11" s="294"/>
      <c r="Z11" s="295" t="s">
        <v>54</v>
      </c>
      <c r="AA11" s="496" t="s">
        <v>62</v>
      </c>
      <c r="AB11" s="294" t="s">
        <v>63</v>
      </c>
      <c r="AC11" s="496" t="s">
        <v>64</v>
      </c>
      <c r="AD11" s="234"/>
    </row>
    <row r="12" spans="1:30">
      <c r="A12" s="841"/>
      <c r="B12" s="141" t="s">
        <v>65</v>
      </c>
      <c r="C12" s="143">
        <v>156</v>
      </c>
      <c r="D12" s="141" t="str">
        <f t="shared" si="1"/>
        <v>Lukáš Prokip</v>
      </c>
      <c r="E12" s="141"/>
      <c r="F12" s="40"/>
      <c r="G12" s="40"/>
      <c r="I12" s="4"/>
      <c r="M12" s="291" t="s">
        <v>66</v>
      </c>
      <c r="N12" s="292" t="s">
        <v>67</v>
      </c>
      <c r="O12" s="337"/>
      <c r="P12" s="293"/>
      <c r="Q12" s="482" t="s">
        <v>68</v>
      </c>
      <c r="R12" s="497"/>
      <c r="S12" s="292"/>
      <c r="T12" s="338"/>
      <c r="U12" s="337"/>
      <c r="V12" s="337"/>
      <c r="W12" s="293"/>
      <c r="X12" s="498">
        <v>2</v>
      </c>
      <c r="Y12" s="294"/>
      <c r="Z12" s="295" t="s">
        <v>54</v>
      </c>
      <c r="AA12" s="496" t="s">
        <v>62</v>
      </c>
      <c r="AB12" s="295" t="s">
        <v>40</v>
      </c>
      <c r="AC12" s="496" t="s">
        <v>64</v>
      </c>
      <c r="AD12" s="234"/>
    </row>
    <row r="13" spans="1:30">
      <c r="A13" s="841"/>
      <c r="B13" s="141" t="s">
        <v>69</v>
      </c>
      <c r="C13" s="143">
        <v>188</v>
      </c>
      <c r="D13" s="141" t="str">
        <f t="shared" si="1"/>
        <v>Ondřej Michl</v>
      </c>
      <c r="E13" s="141"/>
      <c r="F13" s="40"/>
      <c r="G13" s="40"/>
      <c r="I13" s="4"/>
      <c r="M13" s="291" t="s">
        <v>70</v>
      </c>
      <c r="N13" s="292" t="s">
        <v>71</v>
      </c>
      <c r="O13" s="337"/>
      <c r="P13" s="293"/>
      <c r="Q13" s="482" t="s">
        <v>72</v>
      </c>
      <c r="R13" s="497"/>
      <c r="S13" s="292" t="s">
        <v>73</v>
      </c>
      <c r="T13" s="339" t="s">
        <v>74</v>
      </c>
      <c r="U13" s="337"/>
      <c r="V13" s="337"/>
      <c r="W13" s="293"/>
      <c r="X13" s="498">
        <v>4</v>
      </c>
      <c r="Y13" s="294"/>
      <c r="Z13" s="295" t="s">
        <v>54</v>
      </c>
      <c r="AA13" s="496" t="s">
        <v>62</v>
      </c>
      <c r="AB13" s="295" t="s">
        <v>40</v>
      </c>
      <c r="AC13" s="496" t="s">
        <v>64</v>
      </c>
      <c r="AD13" s="235"/>
    </row>
    <row r="14" spans="1:30">
      <c r="A14" s="841"/>
      <c r="B14" s="141" t="s">
        <v>75</v>
      </c>
      <c r="C14" s="143">
        <v>335</v>
      </c>
      <c r="D14" s="141" t="str">
        <f t="shared" si="1"/>
        <v>Jan Chadt</v>
      </c>
      <c r="E14" s="141"/>
      <c r="F14" s="40"/>
      <c r="G14" s="40"/>
      <c r="I14" s="4"/>
      <c r="M14" s="291" t="s">
        <v>76</v>
      </c>
      <c r="N14" s="296" t="s">
        <v>77</v>
      </c>
      <c r="O14" s="337"/>
      <c r="P14" s="293"/>
      <c r="Q14" s="483" t="s">
        <v>78</v>
      </c>
      <c r="R14" s="497"/>
      <c r="S14" s="292"/>
      <c r="T14" s="337"/>
      <c r="U14" s="337"/>
      <c r="V14" s="337"/>
      <c r="W14" s="297"/>
      <c r="X14" s="498">
        <v>2</v>
      </c>
      <c r="Y14" s="294"/>
      <c r="Z14" s="295" t="s">
        <v>54</v>
      </c>
      <c r="AA14" s="496" t="s">
        <v>62</v>
      </c>
      <c r="AB14" s="294" t="s">
        <v>63</v>
      </c>
      <c r="AC14" s="496" t="s">
        <v>64</v>
      </c>
      <c r="AD14" s="234"/>
    </row>
    <row r="15" spans="1:30" ht="13.9" customHeight="1" thickBot="1">
      <c r="A15" s="841"/>
      <c r="B15" s="141" t="s">
        <v>79</v>
      </c>
      <c r="C15" s="143">
        <v>291</v>
      </c>
      <c r="D15" s="141" t="str">
        <f t="shared" si="1"/>
        <v>Milan Hozák</v>
      </c>
      <c r="E15" s="141"/>
      <c r="F15" s="40"/>
      <c r="G15" s="40"/>
      <c r="M15" s="45" t="s">
        <v>80</v>
      </c>
      <c r="N15" s="148" t="s">
        <v>81</v>
      </c>
      <c r="O15" s="240"/>
      <c r="P15" s="207"/>
      <c r="Q15" s="243" t="s">
        <v>82</v>
      </c>
      <c r="R15" s="241"/>
      <c r="S15" s="148"/>
      <c r="T15" s="240"/>
      <c r="U15" s="240"/>
      <c r="V15" s="240"/>
      <c r="W15" s="207"/>
      <c r="X15" s="244">
        <v>2</v>
      </c>
      <c r="Y15" s="220"/>
      <c r="Z15" s="210" t="s">
        <v>54</v>
      </c>
      <c r="AA15" s="242" t="s">
        <v>55</v>
      </c>
      <c r="AB15" s="210" t="s">
        <v>56</v>
      </c>
      <c r="AC15" s="242" t="s">
        <v>57</v>
      </c>
      <c r="AD15" s="108"/>
    </row>
    <row r="16" spans="1:30" ht="14.45" customHeight="1" thickBot="1">
      <c r="A16" s="841"/>
      <c r="B16" s="141" t="s">
        <v>83</v>
      </c>
      <c r="C16" s="143">
        <v>182</v>
      </c>
      <c r="D16" s="141" t="str">
        <f t="shared" si="1"/>
        <v>Tomáš Mrňák</v>
      </c>
      <c r="E16" s="141"/>
      <c r="F16" s="40"/>
      <c r="G16" s="40"/>
      <c r="M16" s="221" t="s">
        <v>84</v>
      </c>
      <c r="N16" s="212" t="s">
        <v>85</v>
      </c>
      <c r="O16" s="145"/>
      <c r="P16" s="145"/>
      <c r="Q16" s="145"/>
      <c r="R16" s="145"/>
      <c r="S16" s="145"/>
      <c r="T16" s="145"/>
      <c r="U16" s="145"/>
      <c r="V16" s="145"/>
      <c r="W16" s="145"/>
      <c r="X16" s="222"/>
      <c r="Y16" s="145"/>
      <c r="Z16" s="145"/>
      <c r="AA16" s="145"/>
      <c r="AB16" s="214"/>
      <c r="AC16" s="48"/>
      <c r="AD16" s="108"/>
    </row>
    <row r="17" spans="1:30">
      <c r="A17" s="841"/>
      <c r="B17" s="141" t="s">
        <v>86</v>
      </c>
      <c r="C17" s="143">
        <v>620</v>
      </c>
      <c r="D17" s="141" t="str">
        <f t="shared" si="1"/>
        <v>Radovan Kejík</v>
      </c>
      <c r="E17" s="141"/>
      <c r="F17" s="40"/>
      <c r="G17" s="40"/>
      <c r="M17" s="44" t="s">
        <v>87</v>
      </c>
      <c r="N17" s="200" t="s">
        <v>88</v>
      </c>
      <c r="O17" s="201"/>
      <c r="P17" s="147"/>
      <c r="Q17" s="200" t="s">
        <v>89</v>
      </c>
      <c r="R17" s="147"/>
      <c r="S17" s="216" t="s">
        <v>90</v>
      </c>
      <c r="T17" s="201"/>
      <c r="U17" s="201"/>
      <c r="V17" s="201"/>
      <c r="W17" s="147"/>
      <c r="X17" s="217">
        <v>3</v>
      </c>
      <c r="Y17" s="218"/>
      <c r="Z17" s="206" t="s">
        <v>91</v>
      </c>
      <c r="AA17" s="218" t="s">
        <v>55</v>
      </c>
      <c r="AB17" s="223" t="s">
        <v>56</v>
      </c>
      <c r="AC17" s="205" t="s">
        <v>57</v>
      </c>
      <c r="AD17" s="108"/>
    </row>
    <row r="18" spans="1:30">
      <c r="A18" s="841"/>
      <c r="B18" s="141" t="s">
        <v>92</v>
      </c>
      <c r="C18" s="143">
        <v>219</v>
      </c>
      <c r="D18" s="141" t="str">
        <f t="shared" si="1"/>
        <v>Ondřej Polák</v>
      </c>
      <c r="E18" s="141"/>
      <c r="F18" s="40"/>
      <c r="G18" s="40"/>
      <c r="M18" s="291" t="s">
        <v>93</v>
      </c>
      <c r="N18" s="292" t="s">
        <v>94</v>
      </c>
      <c r="O18" s="337"/>
      <c r="P18" s="293"/>
      <c r="Q18" s="298" t="s">
        <v>95</v>
      </c>
      <c r="R18" s="293"/>
      <c r="S18" s="482"/>
      <c r="T18" s="337"/>
      <c r="U18" s="337"/>
      <c r="V18" s="337"/>
      <c r="W18" s="293"/>
      <c r="X18" s="498">
        <v>2</v>
      </c>
      <c r="Y18" s="294"/>
      <c r="Z18" s="499" t="s">
        <v>91</v>
      </c>
      <c r="AA18" s="294" t="s">
        <v>55</v>
      </c>
      <c r="AB18" s="484" t="s">
        <v>56</v>
      </c>
      <c r="AC18" s="295" t="s">
        <v>57</v>
      </c>
      <c r="AD18" s="108"/>
    </row>
    <row r="19" spans="1:30">
      <c r="A19" s="841"/>
      <c r="B19" s="141" t="s">
        <v>96</v>
      </c>
      <c r="C19" s="143">
        <v>304</v>
      </c>
      <c r="D19" s="141" t="str">
        <f t="shared" si="1"/>
        <v>Tomáš Krmela</v>
      </c>
      <c r="E19" s="141"/>
      <c r="F19" s="40"/>
      <c r="G19" s="40"/>
      <c r="M19" s="291" t="s">
        <v>97</v>
      </c>
      <c r="N19" s="292" t="s">
        <v>98</v>
      </c>
      <c r="O19" s="337"/>
      <c r="P19" s="293"/>
      <c r="Q19" s="292" t="s">
        <v>99</v>
      </c>
      <c r="R19" s="293"/>
      <c r="S19" s="482" t="s">
        <v>100</v>
      </c>
      <c r="T19" s="337"/>
      <c r="U19" s="337"/>
      <c r="V19" s="337"/>
      <c r="W19" s="293"/>
      <c r="X19" s="498">
        <v>3</v>
      </c>
      <c r="Y19" s="294"/>
      <c r="Z19" s="499" t="s">
        <v>91</v>
      </c>
      <c r="AA19" s="294" t="s">
        <v>55</v>
      </c>
      <c r="AB19" s="484" t="s">
        <v>63</v>
      </c>
      <c r="AC19" s="294" t="s">
        <v>64</v>
      </c>
      <c r="AD19" s="108"/>
    </row>
    <row r="20" spans="1:30">
      <c r="A20" s="841"/>
      <c r="B20" s="141" t="s">
        <v>101</v>
      </c>
      <c r="C20" s="143">
        <v>461</v>
      </c>
      <c r="D20" s="141" t="str">
        <f t="shared" si="1"/>
        <v>Marián Kozák</v>
      </c>
      <c r="E20" s="141"/>
      <c r="F20" s="40"/>
      <c r="G20" s="40"/>
      <c r="M20" s="291" t="s">
        <v>102</v>
      </c>
      <c r="N20" s="292" t="s">
        <v>103</v>
      </c>
      <c r="O20" s="337"/>
      <c r="P20" s="293"/>
      <c r="Q20" s="292" t="s">
        <v>104</v>
      </c>
      <c r="R20" s="293"/>
      <c r="S20" s="482"/>
      <c r="T20" s="337"/>
      <c r="U20" s="337"/>
      <c r="V20" s="337"/>
      <c r="W20" s="297"/>
      <c r="X20" s="498">
        <v>2</v>
      </c>
      <c r="Y20" s="294"/>
      <c r="Z20" s="499" t="s">
        <v>91</v>
      </c>
      <c r="AA20" s="294" t="s">
        <v>62</v>
      </c>
      <c r="AB20" s="294" t="s">
        <v>63</v>
      </c>
      <c r="AC20" s="295" t="s">
        <v>57</v>
      </c>
      <c r="AD20" s="108"/>
    </row>
    <row r="21" spans="1:30">
      <c r="A21" s="841"/>
      <c r="B21" s="141" t="s">
        <v>105</v>
      </c>
      <c r="C21" s="143">
        <v>125</v>
      </c>
      <c r="D21" s="141" t="str">
        <f t="shared" si="1"/>
        <v>Pavel Baitl</v>
      </c>
      <c r="E21" s="141"/>
      <c r="F21" s="40"/>
      <c r="G21" s="40"/>
      <c r="M21" s="291" t="s">
        <v>106</v>
      </c>
      <c r="N21" s="296" t="s">
        <v>107</v>
      </c>
      <c r="O21" s="337"/>
      <c r="P21" s="293"/>
      <c r="Q21" s="296" t="s">
        <v>108</v>
      </c>
      <c r="R21" s="293"/>
      <c r="S21" s="482"/>
      <c r="T21" s="337"/>
      <c r="U21" s="337"/>
      <c r="V21" s="337"/>
      <c r="W21" s="293"/>
      <c r="X21" s="498">
        <v>2</v>
      </c>
      <c r="Y21" s="295"/>
      <c r="Z21" s="499" t="s">
        <v>91</v>
      </c>
      <c r="AA21" s="294" t="s">
        <v>62</v>
      </c>
      <c r="AB21" s="484" t="s">
        <v>63</v>
      </c>
      <c r="AC21" s="294" t="s">
        <v>64</v>
      </c>
      <c r="AD21" s="108"/>
    </row>
    <row r="22" spans="1:30" ht="14.45" customHeight="1" thickBot="1">
      <c r="A22" s="841"/>
      <c r="B22" s="141" t="s">
        <v>109</v>
      </c>
      <c r="C22" s="143">
        <v>92</v>
      </c>
      <c r="D22" s="141" t="str">
        <f t="shared" si="1"/>
        <v>Jan Brom</v>
      </c>
      <c r="E22" s="141"/>
      <c r="F22" s="40"/>
      <c r="G22" s="40"/>
      <c r="M22" s="45" t="s">
        <v>110</v>
      </c>
      <c r="N22" s="148" t="s">
        <v>111</v>
      </c>
      <c r="O22" s="240"/>
      <c r="P22" s="207"/>
      <c r="Q22" s="224" t="s">
        <v>112</v>
      </c>
      <c r="R22" s="207"/>
      <c r="S22" s="245" t="s">
        <v>46</v>
      </c>
      <c r="T22" s="240"/>
      <c r="U22" s="240"/>
      <c r="V22" s="240"/>
      <c r="W22" s="207"/>
      <c r="X22" s="244">
        <v>2</v>
      </c>
      <c r="Y22" s="220"/>
      <c r="Z22" s="246" t="s">
        <v>91</v>
      </c>
      <c r="AA22" s="220" t="s">
        <v>62</v>
      </c>
      <c r="AB22" s="247" t="s">
        <v>63</v>
      </c>
      <c r="AC22" s="220" t="s">
        <v>64</v>
      </c>
      <c r="AD22" s="144"/>
    </row>
    <row r="23" spans="1:30" ht="14.45" customHeight="1" thickBot="1">
      <c r="A23" s="89"/>
      <c r="B23" s="141" t="s">
        <v>113</v>
      </c>
      <c r="C23" s="143">
        <v>149</v>
      </c>
      <c r="D23" s="141" t="str">
        <f t="shared" si="1"/>
        <v>Petr Šulc</v>
      </c>
      <c r="E23" s="141"/>
      <c r="F23" s="40"/>
      <c r="G23" s="40"/>
      <c r="M23" s="221" t="s">
        <v>114</v>
      </c>
      <c r="N23" s="212" t="s">
        <v>115</v>
      </c>
      <c r="O23" s="146"/>
      <c r="P23" s="146"/>
      <c r="Q23" s="146"/>
      <c r="R23" s="146"/>
      <c r="S23" s="146"/>
      <c r="T23" s="146"/>
      <c r="U23" s="146"/>
      <c r="V23" s="146"/>
      <c r="W23" s="146"/>
      <c r="X23" s="222"/>
      <c r="Y23" s="146"/>
      <c r="Z23" s="146"/>
      <c r="AA23" s="146"/>
      <c r="AB23" s="225"/>
      <c r="AC23" s="146"/>
      <c r="AD23" s="109"/>
    </row>
    <row r="24" spans="1:30">
      <c r="A24" s="175"/>
      <c r="B24" s="141" t="s">
        <v>116</v>
      </c>
      <c r="C24" s="143">
        <v>105</v>
      </c>
      <c r="D24" s="141" t="str">
        <f t="shared" si="1"/>
        <v>Daniel Kudr</v>
      </c>
      <c r="E24" s="141"/>
      <c r="F24" s="40"/>
      <c r="G24" s="40"/>
      <c r="M24" s="44" t="s">
        <v>117</v>
      </c>
      <c r="N24" s="200" t="s">
        <v>118</v>
      </c>
      <c r="O24" s="201" t="s">
        <v>119</v>
      </c>
      <c r="P24" s="147"/>
      <c r="Q24" s="200" t="s">
        <v>120</v>
      </c>
      <c r="R24" s="52" t="s">
        <v>121</v>
      </c>
      <c r="S24" s="50" t="s">
        <v>122</v>
      </c>
      <c r="T24" s="201"/>
      <c r="U24" s="51"/>
      <c r="V24" s="51"/>
      <c r="W24" s="52"/>
      <c r="X24" s="226">
        <v>6</v>
      </c>
      <c r="Y24" s="126"/>
      <c r="Z24" s="204" t="s">
        <v>123</v>
      </c>
      <c r="AA24" s="61" t="s">
        <v>124</v>
      </c>
      <c r="AB24" s="46" t="s">
        <v>125</v>
      </c>
      <c r="AC24" s="158" t="s">
        <v>14</v>
      </c>
      <c r="AD24" s="108"/>
    </row>
    <row r="25" spans="1:30">
      <c r="A25" s="842" t="s">
        <v>126</v>
      </c>
      <c r="B25" s="165" t="s">
        <v>127</v>
      </c>
      <c r="C25" s="166">
        <v>452</v>
      </c>
      <c r="D25" s="167" t="str">
        <f t="shared" si="1"/>
        <v>Lukáš Špak</v>
      </c>
      <c r="E25" s="167"/>
      <c r="F25" s="167"/>
      <c r="G25" s="37"/>
      <c r="M25" s="291" t="s">
        <v>128</v>
      </c>
      <c r="N25" s="292" t="s">
        <v>129</v>
      </c>
      <c r="O25" s="337"/>
      <c r="P25" s="293"/>
      <c r="Q25" s="292" t="s">
        <v>130</v>
      </c>
      <c r="R25" s="293"/>
      <c r="S25" s="292"/>
      <c r="T25" s="337"/>
      <c r="U25" s="337" t="s">
        <v>131</v>
      </c>
      <c r="V25" s="337"/>
      <c r="W25" s="293"/>
      <c r="X25" s="485">
        <v>2</v>
      </c>
      <c r="Y25" s="294"/>
      <c r="Z25" s="299" t="s">
        <v>123</v>
      </c>
      <c r="AA25" s="300" t="s">
        <v>55</v>
      </c>
      <c r="AB25" s="295" t="s">
        <v>63</v>
      </c>
      <c r="AC25" s="499" t="s">
        <v>57</v>
      </c>
      <c r="AD25" s="109"/>
    </row>
    <row r="26" spans="1:30">
      <c r="A26" s="841"/>
      <c r="B26" s="165" t="s">
        <v>132</v>
      </c>
      <c r="C26" s="166">
        <v>237</v>
      </c>
      <c r="D26" s="167" t="str">
        <f t="shared" si="1"/>
        <v>Lukáš Bodorík</v>
      </c>
      <c r="E26" s="167"/>
      <c r="F26" s="167"/>
      <c r="G26" s="37"/>
      <c r="I26" s="4"/>
      <c r="M26" s="291" t="s">
        <v>133</v>
      </c>
      <c r="N26" s="292" t="s">
        <v>134</v>
      </c>
      <c r="O26" s="337"/>
      <c r="P26" s="293"/>
      <c r="Q26" s="292" t="s">
        <v>135</v>
      </c>
      <c r="R26" s="293"/>
      <c r="S26" s="301" t="s">
        <v>136</v>
      </c>
      <c r="T26" s="337" t="s">
        <v>137</v>
      </c>
      <c r="U26" s="337"/>
      <c r="V26" s="337"/>
      <c r="W26" s="293"/>
      <c r="X26" s="485">
        <v>4</v>
      </c>
      <c r="Y26" s="302"/>
      <c r="Z26" s="303" t="s">
        <v>123</v>
      </c>
      <c r="AA26" s="303" t="s">
        <v>124</v>
      </c>
      <c r="AB26" s="304" t="s">
        <v>125</v>
      </c>
      <c r="AC26" s="500" t="s">
        <v>14</v>
      </c>
      <c r="AD26" s="108"/>
    </row>
    <row r="27" spans="1:30" ht="14.45" customHeight="1" thickBot="1">
      <c r="A27" s="841"/>
      <c r="B27" s="165" t="s">
        <v>138</v>
      </c>
      <c r="C27" s="166">
        <v>171</v>
      </c>
      <c r="D27" s="167" t="str">
        <f t="shared" si="1"/>
        <v>Marek Bartík</v>
      </c>
      <c r="E27" s="167"/>
      <c r="F27" s="167"/>
      <c r="G27" s="37"/>
      <c r="M27" s="45" t="s">
        <v>139</v>
      </c>
      <c r="N27" s="148" t="s">
        <v>140</v>
      </c>
      <c r="O27" s="240"/>
      <c r="P27" s="207"/>
      <c r="Q27" s="148" t="s">
        <v>141</v>
      </c>
      <c r="R27" s="207"/>
      <c r="S27" s="148"/>
      <c r="T27" s="240"/>
      <c r="U27" s="240"/>
      <c r="V27" s="240"/>
      <c r="W27" s="207"/>
      <c r="X27" s="248">
        <v>2</v>
      </c>
      <c r="Y27" s="220"/>
      <c r="Z27" s="93" t="s">
        <v>123</v>
      </c>
      <c r="AA27" s="227" t="s">
        <v>124</v>
      </c>
      <c r="AB27" s="210" t="s">
        <v>125</v>
      </c>
      <c r="AC27" s="246" t="s">
        <v>14</v>
      </c>
      <c r="AD27" s="144"/>
    </row>
    <row r="28" spans="1:30" ht="14.45" customHeight="1" thickBot="1">
      <c r="A28" s="841"/>
      <c r="B28" s="165" t="s">
        <v>142</v>
      </c>
      <c r="C28" s="166">
        <v>169</v>
      </c>
      <c r="D28" s="167" t="str">
        <f t="shared" si="1"/>
        <v>Libor Dvořák</v>
      </c>
      <c r="E28" s="167"/>
      <c r="F28" s="167"/>
      <c r="G28" s="37"/>
      <c r="I28" s="4"/>
      <c r="M28" s="228" t="s">
        <v>143</v>
      </c>
      <c r="N28" s="212" t="s">
        <v>144</v>
      </c>
      <c r="O28" s="145"/>
      <c r="P28" s="145"/>
      <c r="Q28" s="145"/>
      <c r="R28" s="145"/>
      <c r="S28" s="162"/>
      <c r="T28" s="57"/>
      <c r="U28" s="57"/>
      <c r="V28" s="57"/>
      <c r="W28" s="57"/>
      <c r="X28" s="229"/>
      <c r="Y28" s="47"/>
      <c r="Z28" s="47"/>
      <c r="AA28" s="145"/>
      <c r="AB28" s="84"/>
      <c r="AC28" s="47"/>
      <c r="AD28" s="109"/>
    </row>
    <row r="29" spans="1:30">
      <c r="A29" s="841"/>
      <c r="B29" s="165" t="s">
        <v>145</v>
      </c>
      <c r="C29" s="166">
        <v>172</v>
      </c>
      <c r="D29" s="167" t="e">
        <f t="shared" si="1"/>
        <v>#N/A</v>
      </c>
      <c r="E29" s="167"/>
      <c r="F29" s="167"/>
      <c r="G29" s="37"/>
      <c r="M29" s="230" t="s">
        <v>146</v>
      </c>
      <c r="N29" s="50" t="s">
        <v>147</v>
      </c>
      <c r="O29" s="127"/>
      <c r="P29" s="151"/>
      <c r="Q29" s="58" t="s">
        <v>148</v>
      </c>
      <c r="R29" s="52"/>
      <c r="S29" s="501"/>
      <c r="T29" s="278"/>
      <c r="U29" s="278"/>
      <c r="V29" s="278"/>
      <c r="W29" s="129"/>
      <c r="X29" s="231">
        <v>2</v>
      </c>
      <c r="Y29" s="501"/>
      <c r="Z29" s="130" t="s">
        <v>149</v>
      </c>
      <c r="AA29" s="46" t="s">
        <v>124</v>
      </c>
      <c r="AB29" s="486" t="s">
        <v>125</v>
      </c>
      <c r="AC29" s="232" t="s">
        <v>14</v>
      </c>
      <c r="AD29" s="109"/>
    </row>
    <row r="30" spans="1:30">
      <c r="A30" s="841"/>
      <c r="B30" s="165" t="s">
        <v>150</v>
      </c>
      <c r="C30" s="166">
        <v>178</v>
      </c>
      <c r="D30" s="167" t="str">
        <f t="shared" si="1"/>
        <v>Radoslav Skaloš</v>
      </c>
      <c r="E30" s="167"/>
      <c r="F30" s="167"/>
      <c r="G30" s="37"/>
      <c r="M30" s="291" t="s">
        <v>151</v>
      </c>
      <c r="N30" s="298" t="s">
        <v>152</v>
      </c>
      <c r="O30" s="340" t="s">
        <v>153</v>
      </c>
      <c r="P30" s="297"/>
      <c r="Q30" s="482" t="s">
        <v>154</v>
      </c>
      <c r="R30" s="293"/>
      <c r="S30" s="487" t="s">
        <v>155</v>
      </c>
      <c r="T30" s="341"/>
      <c r="U30" s="341"/>
      <c r="V30" s="341"/>
      <c r="W30" s="305"/>
      <c r="X30" s="306">
        <v>4</v>
      </c>
      <c r="Y30" s="502"/>
      <c r="Z30" s="303" t="s">
        <v>149</v>
      </c>
      <c r="AA30" s="304" t="s">
        <v>124</v>
      </c>
      <c r="AB30" s="488" t="s">
        <v>125</v>
      </c>
      <c r="AC30" s="500" t="s">
        <v>14</v>
      </c>
      <c r="AD30" s="109"/>
    </row>
    <row r="31" spans="1:30">
      <c r="A31" s="841"/>
      <c r="B31" s="165" t="s">
        <v>156</v>
      </c>
      <c r="C31" s="166">
        <v>100</v>
      </c>
      <c r="D31" s="167" t="str">
        <f t="shared" si="1"/>
        <v>Michal Gluchman</v>
      </c>
      <c r="E31" s="167"/>
      <c r="F31" s="167"/>
      <c r="G31" s="37"/>
      <c r="M31" s="291" t="s">
        <v>157</v>
      </c>
      <c r="N31" s="292" t="s">
        <v>158</v>
      </c>
      <c r="O31" s="337"/>
      <c r="P31" s="293"/>
      <c r="Q31" s="482" t="s">
        <v>159</v>
      </c>
      <c r="R31" s="293"/>
      <c r="S31" s="482"/>
      <c r="T31" s="337"/>
      <c r="U31" s="337"/>
      <c r="V31" s="337"/>
      <c r="W31" s="293"/>
      <c r="X31" s="307">
        <v>2</v>
      </c>
      <c r="Y31" s="108"/>
      <c r="Z31" s="299" t="s">
        <v>149</v>
      </c>
      <c r="AA31" s="294" t="s">
        <v>55</v>
      </c>
      <c r="AB31" s="484" t="s">
        <v>56</v>
      </c>
      <c r="AC31" s="299" t="s">
        <v>57</v>
      </c>
      <c r="AD31" s="109"/>
    </row>
    <row r="32" spans="1:30" ht="14.45" customHeight="1" thickBot="1">
      <c r="A32" s="841"/>
      <c r="B32" s="165" t="s">
        <v>160</v>
      </c>
      <c r="C32" s="166">
        <v>165</v>
      </c>
      <c r="D32" s="167" t="str">
        <f t="shared" si="1"/>
        <v>Pavol Chmura</v>
      </c>
      <c r="E32" s="167"/>
      <c r="F32" s="167"/>
      <c r="G32" s="37"/>
      <c r="M32" s="45" t="s">
        <v>161</v>
      </c>
      <c r="N32" s="233" t="s">
        <v>162</v>
      </c>
      <c r="O32" s="240"/>
      <c r="P32" s="207"/>
      <c r="Q32" s="243" t="s">
        <v>163</v>
      </c>
      <c r="R32" s="207"/>
      <c r="S32" s="243" t="s">
        <v>164</v>
      </c>
      <c r="T32" s="240"/>
      <c r="U32" s="240"/>
      <c r="V32" s="240"/>
      <c r="W32" s="207"/>
      <c r="X32" s="208">
        <v>3</v>
      </c>
      <c r="Y32" s="249"/>
      <c r="Z32" s="93" t="s">
        <v>149</v>
      </c>
      <c r="AA32" s="71" t="s">
        <v>124</v>
      </c>
      <c r="AB32" s="250" t="s">
        <v>125</v>
      </c>
      <c r="AC32" s="251" t="s">
        <v>14</v>
      </c>
      <c r="AD32" s="144"/>
    </row>
    <row r="33" spans="1:30" ht="14.45" customHeight="1" thickBot="1">
      <c r="A33" s="841"/>
      <c r="B33" s="165" t="s">
        <v>165</v>
      </c>
      <c r="C33" s="166">
        <v>75</v>
      </c>
      <c r="D33" s="167" t="str">
        <f t="shared" si="1"/>
        <v>Lorant Magyar</v>
      </c>
      <c r="E33" s="167"/>
      <c r="F33" s="167"/>
      <c r="G33" s="37"/>
      <c r="M33" s="62" t="s">
        <v>166</v>
      </c>
      <c r="N33" s="63" t="s">
        <v>167</v>
      </c>
      <c r="O33" s="63"/>
      <c r="P33" s="63"/>
      <c r="Q33" s="63"/>
      <c r="R33" s="63"/>
      <c r="S33" s="63"/>
      <c r="T33" s="63"/>
      <c r="U33" s="63"/>
      <c r="V33" s="63"/>
      <c r="W33" s="63"/>
      <c r="X33" s="64">
        <f>SUM(X7:X32)</f>
        <v>63</v>
      </c>
      <c r="Y33" s="65"/>
      <c r="Z33" s="65" t="s">
        <v>168</v>
      </c>
      <c r="AA33" s="63" t="s">
        <v>169</v>
      </c>
      <c r="AB33" s="65" t="s">
        <v>170</v>
      </c>
      <c r="AC33" s="66"/>
      <c r="AD33" s="144"/>
    </row>
    <row r="34" spans="1:30" ht="14.45" customHeight="1" thickBot="1">
      <c r="A34" s="841"/>
      <c r="B34" s="165" t="s">
        <v>171</v>
      </c>
      <c r="C34" s="166">
        <v>93</v>
      </c>
      <c r="D34" s="167" t="e">
        <f t="shared" si="1"/>
        <v>#N/A</v>
      </c>
      <c r="E34" s="167"/>
      <c r="F34" s="167"/>
      <c r="G34" s="37"/>
      <c r="M34" s="67" t="s">
        <v>172</v>
      </c>
      <c r="N34" s="48" t="s">
        <v>173</v>
      </c>
      <c r="O34" s="48"/>
      <c r="P34" s="48"/>
      <c r="Q34" s="48"/>
      <c r="R34" s="48"/>
      <c r="S34" s="48"/>
      <c r="T34" s="48"/>
      <c r="U34" s="48"/>
      <c r="V34" s="48"/>
      <c r="W34" s="48"/>
      <c r="X34" s="68"/>
      <c r="Y34" s="47"/>
      <c r="Z34" s="47"/>
      <c r="AA34" s="47"/>
      <c r="AB34" s="47"/>
      <c r="AC34" s="69"/>
      <c r="AD34" s="144"/>
    </row>
    <row r="35" spans="1:30" ht="13.9" customHeight="1" thickBot="1">
      <c r="A35" s="841"/>
      <c r="B35" s="165" t="s">
        <v>174</v>
      </c>
      <c r="C35" s="166">
        <v>172</v>
      </c>
      <c r="D35" s="167" t="str">
        <f t="shared" si="1"/>
        <v>Martin Bibko</v>
      </c>
      <c r="E35" s="167"/>
      <c r="F35" s="167"/>
      <c r="G35" s="37"/>
      <c r="M35" s="70" t="s">
        <v>175</v>
      </c>
      <c r="N35" s="149" t="s">
        <v>176</v>
      </c>
      <c r="O35" s="127" t="s">
        <v>177</v>
      </c>
      <c r="P35" s="51"/>
      <c r="Q35" s="127" t="s">
        <v>178</v>
      </c>
      <c r="R35" s="128"/>
      <c r="S35" s="150"/>
      <c r="T35" s="127"/>
      <c r="U35" s="127"/>
      <c r="V35" s="127"/>
      <c r="W35" s="151"/>
      <c r="X35" s="152"/>
      <c r="Y35" s="126"/>
      <c r="Z35" s="46" t="s">
        <v>179</v>
      </c>
      <c r="AA35" s="46" t="s">
        <v>180</v>
      </c>
      <c r="AB35" s="46" t="s">
        <v>181</v>
      </c>
      <c r="AC35" s="46" t="s">
        <v>182</v>
      </c>
      <c r="AD35" s="108"/>
    </row>
    <row r="36" spans="1:30" ht="13.9" customHeight="1" thickBot="1">
      <c r="A36" s="841"/>
      <c r="B36" s="165" t="s">
        <v>183</v>
      </c>
      <c r="C36" s="166">
        <v>0</v>
      </c>
      <c r="D36" s="167" t="e">
        <f t="shared" si="1"/>
        <v>#N/A</v>
      </c>
      <c r="E36" s="167"/>
      <c r="F36" s="167"/>
      <c r="G36" s="37"/>
      <c r="H36" s="43"/>
      <c r="M36" s="153" t="s">
        <v>184</v>
      </c>
      <c r="N36" s="252" t="s">
        <v>185</v>
      </c>
      <c r="O36" s="253"/>
      <c r="P36" s="254"/>
      <c r="Q36" s="255" t="s">
        <v>186</v>
      </c>
      <c r="R36" s="256"/>
      <c r="S36" s="154"/>
      <c r="T36" s="255"/>
      <c r="U36" s="255"/>
      <c r="V36" s="255"/>
      <c r="W36" s="155"/>
      <c r="X36" s="156"/>
      <c r="Y36" s="157"/>
      <c r="Z36" s="158" t="s">
        <v>187</v>
      </c>
      <c r="AA36" s="46" t="s">
        <v>180</v>
      </c>
      <c r="AB36" s="54" t="s">
        <v>181</v>
      </c>
      <c r="AC36" s="54" t="s">
        <v>188</v>
      </c>
      <c r="AD36" s="108"/>
    </row>
    <row r="37" spans="1:30" ht="14.45" customHeight="1" thickBot="1">
      <c r="A37" s="841"/>
      <c r="B37" s="165" t="s">
        <v>189</v>
      </c>
      <c r="C37" s="166">
        <v>0</v>
      </c>
      <c r="D37" s="167" t="e">
        <f t="shared" si="1"/>
        <v>#N/A</v>
      </c>
      <c r="E37" s="167"/>
      <c r="F37" s="167"/>
      <c r="G37" s="37"/>
      <c r="M37" s="67" t="s">
        <v>190</v>
      </c>
      <c r="N37" s="145" t="s">
        <v>191</v>
      </c>
      <c r="O37" s="145"/>
      <c r="P37" s="145"/>
      <c r="Q37" s="145"/>
      <c r="R37" s="145"/>
      <c r="S37" s="145"/>
      <c r="T37" s="145"/>
      <c r="U37" s="145"/>
      <c r="V37" s="145"/>
      <c r="W37" s="145"/>
      <c r="X37" s="159"/>
      <c r="Y37" s="57"/>
      <c r="Z37" s="47"/>
      <c r="AA37" s="48"/>
      <c r="AB37" s="48"/>
      <c r="AC37" s="49"/>
      <c r="AD37" s="144"/>
    </row>
    <row r="38" spans="1:30">
      <c r="A38" s="841"/>
      <c r="B38" s="165" t="s">
        <v>192</v>
      </c>
      <c r="C38" s="166">
        <v>161</v>
      </c>
      <c r="D38" s="167" t="str">
        <f t="shared" si="1"/>
        <v>Jan Tichý</v>
      </c>
      <c r="E38" s="167"/>
      <c r="F38" s="167"/>
      <c r="G38" s="37"/>
      <c r="M38" s="70" t="s">
        <v>193</v>
      </c>
      <c r="N38" s="149" t="s">
        <v>194</v>
      </c>
      <c r="O38" s="110"/>
      <c r="P38" s="51"/>
      <c r="Q38" s="127" t="s">
        <v>195</v>
      </c>
      <c r="R38" s="151" t="s">
        <v>196</v>
      </c>
      <c r="S38" s="58"/>
      <c r="T38" s="51"/>
      <c r="U38" s="51"/>
      <c r="V38" s="51"/>
      <c r="W38" s="51"/>
      <c r="X38" s="53"/>
      <c r="Y38" s="54"/>
      <c r="Z38" s="61" t="s">
        <v>187</v>
      </c>
      <c r="AA38" s="46" t="s">
        <v>180</v>
      </c>
      <c r="AB38" s="54" t="s">
        <v>181</v>
      </c>
      <c r="AC38" s="54" t="s">
        <v>188</v>
      </c>
      <c r="AD38" s="108"/>
    </row>
    <row r="39" spans="1:30">
      <c r="A39" s="174" t="s">
        <v>197</v>
      </c>
      <c r="B39" s="168" t="s">
        <v>198</v>
      </c>
      <c r="C39" s="169">
        <v>32</v>
      </c>
      <c r="D39" s="170" t="e">
        <f t="shared" si="1"/>
        <v>#N/A</v>
      </c>
      <c r="E39" s="170"/>
      <c r="F39" s="170"/>
      <c r="G39" s="39"/>
      <c r="M39" s="308" t="s">
        <v>199</v>
      </c>
      <c r="N39" s="489" t="s">
        <v>200</v>
      </c>
      <c r="O39" s="342"/>
      <c r="P39" s="342"/>
      <c r="Q39" s="342" t="s">
        <v>201</v>
      </c>
      <c r="R39" s="297"/>
      <c r="S39" s="490"/>
      <c r="T39" s="343"/>
      <c r="U39" s="343"/>
      <c r="V39" s="343"/>
      <c r="W39" s="343"/>
      <c r="X39" s="309"/>
      <c r="Y39" s="491"/>
      <c r="Z39" s="303" t="s">
        <v>187</v>
      </c>
      <c r="AA39" s="304" t="s">
        <v>180</v>
      </c>
      <c r="AB39" s="488" t="s">
        <v>181</v>
      </c>
      <c r="AC39" s="488" t="s">
        <v>188</v>
      </c>
      <c r="AD39" s="108"/>
    </row>
    <row r="40" spans="1:30">
      <c r="A40" s="843" t="s">
        <v>202</v>
      </c>
      <c r="B40" s="164" t="s">
        <v>203</v>
      </c>
      <c r="C40" s="171">
        <v>669</v>
      </c>
      <c r="D40" s="172" t="str">
        <f t="shared" si="1"/>
        <v>Piotr Aszychmin</v>
      </c>
      <c r="E40" s="172"/>
      <c r="F40" s="172"/>
      <c r="G40" s="163"/>
      <c r="M40" s="308" t="s">
        <v>204</v>
      </c>
      <c r="N40" s="489" t="s">
        <v>205</v>
      </c>
      <c r="O40" s="342"/>
      <c r="P40" s="342"/>
      <c r="Q40" s="342" t="s">
        <v>206</v>
      </c>
      <c r="R40" s="297"/>
      <c r="S40" s="489"/>
      <c r="T40" s="342"/>
      <c r="U40" s="342"/>
      <c r="V40" s="342"/>
      <c r="W40" s="342"/>
      <c r="X40" s="310"/>
      <c r="Y40" s="486"/>
      <c r="Z40" s="303" t="s">
        <v>187</v>
      </c>
      <c r="AA40" s="304" t="s">
        <v>180</v>
      </c>
      <c r="AB40" s="488" t="s">
        <v>181</v>
      </c>
      <c r="AC40" s="488" t="s">
        <v>188</v>
      </c>
      <c r="AD40" s="108"/>
    </row>
    <row r="41" spans="1:30">
      <c r="A41" s="841"/>
      <c r="B41" s="173" t="s">
        <v>207</v>
      </c>
      <c r="C41" s="171">
        <v>426</v>
      </c>
      <c r="D41" s="172" t="str">
        <f t="shared" si="1"/>
        <v>Grzegorz Imiełowski</v>
      </c>
      <c r="E41" s="172"/>
      <c r="F41" s="172"/>
      <c r="G41" s="163"/>
      <c r="M41" s="311" t="s">
        <v>208</v>
      </c>
      <c r="N41" s="487" t="s">
        <v>209</v>
      </c>
      <c r="O41" s="342"/>
      <c r="P41" s="342"/>
      <c r="Q41" s="342" t="s">
        <v>210</v>
      </c>
      <c r="R41" s="297"/>
      <c r="S41" s="383"/>
      <c r="T41" s="344"/>
      <c r="U41" s="344"/>
      <c r="V41" s="344"/>
      <c r="W41" s="344"/>
      <c r="X41" s="312"/>
      <c r="Y41" s="131"/>
      <c r="Z41" s="59" t="s">
        <v>211</v>
      </c>
      <c r="AA41" s="303" t="s">
        <v>212</v>
      </c>
      <c r="AB41" s="304" t="s">
        <v>181</v>
      </c>
      <c r="AC41" s="486" t="s">
        <v>213</v>
      </c>
      <c r="AD41" s="108"/>
    </row>
    <row r="42" spans="1:30" ht="13.9" customHeight="1" thickBot="1">
      <c r="A42" s="841"/>
      <c r="B42" s="164" t="s">
        <v>214</v>
      </c>
      <c r="C42" s="171">
        <v>370</v>
      </c>
      <c r="D42" s="172" t="str">
        <f t="shared" si="1"/>
        <v>Michal Przybylski</v>
      </c>
      <c r="E42" s="172"/>
      <c r="F42" s="172"/>
      <c r="G42" s="163"/>
      <c r="M42" s="153" t="s">
        <v>215</v>
      </c>
      <c r="N42" s="257" t="s">
        <v>216</v>
      </c>
      <c r="O42" s="254"/>
      <c r="P42" s="254"/>
      <c r="Q42" s="255" t="s">
        <v>217</v>
      </c>
      <c r="R42" s="55"/>
      <c r="S42" s="257"/>
      <c r="T42" s="254"/>
      <c r="U42" s="254"/>
      <c r="V42" s="254"/>
      <c r="W42" s="254"/>
      <c r="X42" s="56"/>
      <c r="Y42" s="258"/>
      <c r="Z42" s="59" t="s">
        <v>211</v>
      </c>
      <c r="AA42" s="303" t="s">
        <v>212</v>
      </c>
      <c r="AB42" s="304" t="s">
        <v>181</v>
      </c>
      <c r="AC42" s="486" t="s">
        <v>213</v>
      </c>
      <c r="AD42" s="108"/>
    </row>
    <row r="43" spans="1:30" ht="14.45" customHeight="1" thickBot="1">
      <c r="A43" s="841"/>
      <c r="B43" s="173" t="s">
        <v>218</v>
      </c>
      <c r="C43" s="171">
        <v>0</v>
      </c>
      <c r="D43" s="172" t="e">
        <f t="shared" si="1"/>
        <v>#N/A</v>
      </c>
      <c r="E43" s="172"/>
      <c r="F43" s="172"/>
      <c r="G43" s="163"/>
      <c r="M43" s="67" t="s">
        <v>219</v>
      </c>
      <c r="N43" s="145" t="s">
        <v>220</v>
      </c>
      <c r="O43" s="145"/>
      <c r="P43" s="145"/>
      <c r="Q43" s="145"/>
      <c r="R43" s="145"/>
      <c r="S43" s="48"/>
      <c r="T43" s="48"/>
      <c r="U43" s="48"/>
      <c r="V43" s="48"/>
      <c r="W43" s="48"/>
      <c r="X43" s="133"/>
      <c r="Y43" s="47"/>
      <c r="Z43" s="47"/>
      <c r="AA43" s="47"/>
      <c r="AB43" s="48"/>
      <c r="AC43" s="69"/>
      <c r="AD43" s="144"/>
    </row>
    <row r="44" spans="1:30">
      <c r="A44" s="841"/>
      <c r="B44" s="173" t="s">
        <v>221</v>
      </c>
      <c r="C44" s="171">
        <v>165</v>
      </c>
      <c r="D44" s="172" t="e">
        <f t="shared" si="1"/>
        <v>#N/A</v>
      </c>
      <c r="E44" s="172"/>
      <c r="F44" s="172"/>
      <c r="G44" s="163"/>
      <c r="M44" s="70" t="s">
        <v>222</v>
      </c>
      <c r="N44" s="58" t="s">
        <v>223</v>
      </c>
      <c r="O44" s="51"/>
      <c r="P44" s="51"/>
      <c r="Q44" s="51" t="s">
        <v>224</v>
      </c>
      <c r="R44" s="151" t="s">
        <v>225</v>
      </c>
      <c r="S44" s="50"/>
      <c r="T44" s="51"/>
      <c r="U44" s="51"/>
      <c r="V44" s="51"/>
      <c r="W44" s="52"/>
      <c r="X44" s="503"/>
      <c r="Y44" s="302"/>
      <c r="Z44" s="59" t="s">
        <v>211</v>
      </c>
      <c r="AA44" s="303" t="s">
        <v>212</v>
      </c>
      <c r="AB44" s="304" t="s">
        <v>181</v>
      </c>
      <c r="AC44" s="486" t="s">
        <v>213</v>
      </c>
      <c r="AD44" s="108"/>
    </row>
    <row r="45" spans="1:30">
      <c r="A45" s="841"/>
      <c r="B45" s="173" t="s">
        <v>226</v>
      </c>
      <c r="C45" s="171">
        <v>0</v>
      </c>
      <c r="D45" s="172" t="e">
        <f t="shared" si="1"/>
        <v>#N/A</v>
      </c>
      <c r="E45" s="172"/>
      <c r="F45" s="172"/>
      <c r="G45" s="163"/>
      <c r="M45" s="308" t="s">
        <v>227</v>
      </c>
      <c r="N45" s="489" t="s">
        <v>228</v>
      </c>
      <c r="O45" s="342"/>
      <c r="P45" s="342"/>
      <c r="Q45" s="342" t="s">
        <v>229</v>
      </c>
      <c r="R45" s="297"/>
      <c r="S45" s="298"/>
      <c r="T45" s="342"/>
      <c r="U45" s="342"/>
      <c r="V45" s="342"/>
      <c r="W45" s="297"/>
      <c r="X45" s="503"/>
      <c r="Y45" s="302"/>
      <c r="Z45" s="59" t="s">
        <v>211</v>
      </c>
      <c r="AA45" s="303" t="s">
        <v>212</v>
      </c>
      <c r="AB45" s="304" t="s">
        <v>181</v>
      </c>
      <c r="AC45" s="486" t="s">
        <v>213</v>
      </c>
      <c r="AD45" s="108"/>
    </row>
    <row r="46" spans="1:30">
      <c r="A46" s="841"/>
      <c r="B46" s="173" t="s">
        <v>230</v>
      </c>
      <c r="C46" s="171">
        <v>326</v>
      </c>
      <c r="D46" s="172" t="e">
        <f t="shared" si="1"/>
        <v>#N/A</v>
      </c>
      <c r="E46" s="172"/>
      <c r="F46" s="172"/>
      <c r="G46" s="163"/>
      <c r="M46" s="308" t="s">
        <v>231</v>
      </c>
      <c r="N46" s="489" t="s">
        <v>232</v>
      </c>
      <c r="O46" s="342"/>
      <c r="P46" s="342"/>
      <c r="Q46" s="341" t="s">
        <v>233</v>
      </c>
      <c r="R46" s="297"/>
      <c r="S46" s="298"/>
      <c r="T46" s="342"/>
      <c r="U46" s="342"/>
      <c r="V46" s="342"/>
      <c r="W46" s="297"/>
      <c r="X46" s="503"/>
      <c r="Y46" s="60"/>
      <c r="Z46" s="59" t="s">
        <v>211</v>
      </c>
      <c r="AA46" s="303" t="s">
        <v>212</v>
      </c>
      <c r="AB46" s="304" t="s">
        <v>181</v>
      </c>
      <c r="AC46" s="486" t="s">
        <v>213</v>
      </c>
      <c r="AD46" s="108"/>
    </row>
    <row r="47" spans="1:30" ht="13.5" customHeight="1" thickBot="1">
      <c r="A47" s="841"/>
      <c r="B47" s="173" t="s">
        <v>234</v>
      </c>
      <c r="C47" s="171">
        <v>199</v>
      </c>
      <c r="D47" s="172"/>
      <c r="E47" s="172"/>
      <c r="F47" s="172"/>
      <c r="G47" s="163"/>
      <c r="M47" s="132" t="s">
        <v>235</v>
      </c>
      <c r="N47" s="257" t="s">
        <v>236</v>
      </c>
      <c r="O47" s="254"/>
      <c r="P47" s="254"/>
      <c r="Q47" s="254" t="s">
        <v>237</v>
      </c>
      <c r="R47" s="55"/>
      <c r="S47" s="76"/>
      <c r="T47" s="254"/>
      <c r="U47" s="254"/>
      <c r="V47" s="254"/>
      <c r="W47" s="55"/>
      <c r="X47" s="259"/>
      <c r="Y47" s="111"/>
      <c r="Z47" s="59" t="s">
        <v>211</v>
      </c>
      <c r="AA47" s="303" t="s">
        <v>212</v>
      </c>
      <c r="AB47" s="71" t="s">
        <v>181</v>
      </c>
      <c r="AC47" s="486" t="s">
        <v>213</v>
      </c>
      <c r="AD47" s="108"/>
    </row>
    <row r="48" spans="1:30" ht="13.5" customHeight="1" thickBot="1">
      <c r="A48" s="841"/>
      <c r="B48" s="172" t="s">
        <v>238</v>
      </c>
      <c r="C48" s="171">
        <v>2</v>
      </c>
      <c r="D48" s="172"/>
      <c r="E48" s="172"/>
      <c r="F48" s="172"/>
      <c r="G48" s="163"/>
      <c r="M48" s="94" t="s">
        <v>239</v>
      </c>
      <c r="N48" s="72" t="s">
        <v>240</v>
      </c>
      <c r="O48" s="63"/>
      <c r="P48" s="63"/>
      <c r="Q48" s="63"/>
      <c r="R48" s="63"/>
      <c r="S48" s="63"/>
      <c r="T48" s="63"/>
      <c r="U48" s="63"/>
      <c r="V48" s="63"/>
      <c r="W48" s="63"/>
      <c r="X48" s="95" t="e">
        <f>#REF!</f>
        <v>#REF!</v>
      </c>
      <c r="Y48" s="63"/>
      <c r="Z48" s="63"/>
      <c r="AA48" s="63"/>
      <c r="AB48" s="63"/>
      <c r="AC48" s="96"/>
      <c r="AD48" s="108"/>
    </row>
    <row r="49" spans="3:30" ht="15" customHeight="1" thickBot="1">
      <c r="M49" s="112" t="s">
        <v>241</v>
      </c>
      <c r="N49" s="85" t="s">
        <v>242</v>
      </c>
      <c r="O49" s="160"/>
      <c r="P49" s="160"/>
      <c r="Q49" s="160"/>
      <c r="R49" s="86"/>
      <c r="S49" s="160"/>
      <c r="T49" s="160"/>
      <c r="U49" s="160"/>
      <c r="V49" s="160"/>
      <c r="W49" s="160"/>
      <c r="X49" s="161"/>
      <c r="Y49" s="160"/>
      <c r="Z49" s="160"/>
      <c r="AA49" s="160"/>
      <c r="AB49" s="160"/>
      <c r="AC49" s="87"/>
      <c r="AD49" s="108"/>
    </row>
    <row r="50" spans="3:30">
      <c r="M50" s="70" t="s">
        <v>214</v>
      </c>
      <c r="N50" s="492" t="s">
        <v>243</v>
      </c>
      <c r="O50" s="337" t="s">
        <v>242</v>
      </c>
      <c r="P50" s="345"/>
      <c r="Q50" s="345" t="s">
        <v>244</v>
      </c>
      <c r="R50" s="293"/>
      <c r="S50" s="492" t="s">
        <v>245</v>
      </c>
      <c r="T50" s="345"/>
      <c r="U50" s="345"/>
      <c r="V50" s="345"/>
      <c r="W50" s="293"/>
      <c r="X50" s="498"/>
      <c r="Y50" s="292"/>
      <c r="Z50" s="345" t="s">
        <v>246</v>
      </c>
      <c r="AA50" s="345" t="s">
        <v>247</v>
      </c>
      <c r="AB50" s="345" t="s">
        <v>248</v>
      </c>
      <c r="AC50" s="313" t="s">
        <v>249</v>
      </c>
      <c r="AD50" s="108"/>
    </row>
    <row r="51" spans="3:30">
      <c r="M51" s="314" t="s">
        <v>250</v>
      </c>
      <c r="N51" s="384"/>
      <c r="O51" s="338"/>
      <c r="P51" s="346"/>
      <c r="Q51" s="384"/>
      <c r="R51" s="315"/>
      <c r="S51" s="384"/>
      <c r="T51" s="346"/>
      <c r="U51" s="346"/>
      <c r="V51" s="346"/>
      <c r="W51" s="315"/>
      <c r="X51" s="657"/>
      <c r="Y51" s="316"/>
      <c r="Z51" s="346"/>
      <c r="AA51" s="346"/>
      <c r="AB51" s="346"/>
      <c r="AC51" s="317"/>
      <c r="AD51" s="108"/>
    </row>
    <row r="52" spans="3:30" ht="24.6" customHeight="1" thickBot="1">
      <c r="M52" s="132" t="s">
        <v>251</v>
      </c>
      <c r="N52" s="260" t="s">
        <v>252</v>
      </c>
      <c r="O52" s="261"/>
      <c r="P52" s="261"/>
      <c r="Q52" s="260" t="s">
        <v>253</v>
      </c>
      <c r="R52" s="135" t="s">
        <v>254</v>
      </c>
      <c r="S52" s="260"/>
      <c r="T52" s="261"/>
      <c r="U52" s="261"/>
      <c r="V52" s="261"/>
      <c r="W52" s="136"/>
      <c r="X52" s="262"/>
      <c r="Y52" s="148"/>
      <c r="Z52" s="261" t="s">
        <v>246</v>
      </c>
      <c r="AA52" s="261" t="s">
        <v>255</v>
      </c>
      <c r="AB52" s="261" t="s">
        <v>248</v>
      </c>
      <c r="AC52" s="136" t="s">
        <v>249</v>
      </c>
      <c r="AD52" s="108"/>
    </row>
    <row r="53" spans="3:30" ht="15" customHeight="1" thickBot="1">
      <c r="M53" s="113" t="s">
        <v>256</v>
      </c>
      <c r="N53" s="85" t="s">
        <v>257</v>
      </c>
      <c r="O53" s="160"/>
      <c r="P53" s="160"/>
      <c r="Q53" s="160"/>
      <c r="R53" s="87"/>
      <c r="S53" s="160"/>
      <c r="T53" s="160"/>
      <c r="U53" s="160"/>
      <c r="V53" s="160"/>
      <c r="W53" s="160"/>
      <c r="X53" s="161">
        <f>SUM(X50:X51)</f>
        <v>0</v>
      </c>
      <c r="Y53" s="160"/>
      <c r="Z53" s="160"/>
      <c r="AA53" s="160"/>
      <c r="AB53" s="160"/>
      <c r="AC53" s="87"/>
      <c r="AD53" s="108"/>
    </row>
    <row r="54" spans="3:30">
      <c r="M54" s="70" t="s">
        <v>203</v>
      </c>
      <c r="N54" s="137" t="s">
        <v>258</v>
      </c>
      <c r="O54" s="134" t="s">
        <v>257</v>
      </c>
      <c r="P54" s="134"/>
      <c r="Q54" s="134" t="s">
        <v>259</v>
      </c>
      <c r="R54" s="147"/>
      <c r="S54" s="147" t="s">
        <v>260</v>
      </c>
      <c r="T54" s="134" t="s">
        <v>261</v>
      </c>
      <c r="U54" s="134"/>
      <c r="V54" s="134"/>
      <c r="W54" s="139"/>
      <c r="X54" s="504"/>
      <c r="Y54" s="137"/>
      <c r="Z54" s="134" t="s">
        <v>246</v>
      </c>
      <c r="AA54" s="134" t="s">
        <v>262</v>
      </c>
      <c r="AB54" s="134" t="s">
        <v>248</v>
      </c>
      <c r="AC54" s="139" t="s">
        <v>249</v>
      </c>
      <c r="AD54" s="108"/>
    </row>
    <row r="55" spans="3:30" ht="14.25" customHeight="1">
      <c r="C55" s="838"/>
      <c r="D55" s="903"/>
      <c r="E55" s="838"/>
      <c r="F55" s="903"/>
      <c r="M55" s="308" t="s">
        <v>263</v>
      </c>
      <c r="N55" s="318"/>
      <c r="O55" s="345"/>
      <c r="P55" s="345"/>
      <c r="Q55" s="345"/>
      <c r="R55" s="293"/>
      <c r="S55" s="318"/>
      <c r="T55" s="345"/>
      <c r="U55" s="345"/>
      <c r="V55" s="345"/>
      <c r="W55" s="319"/>
      <c r="X55" s="504"/>
      <c r="Y55" s="318"/>
      <c r="Z55" s="345"/>
      <c r="AA55" s="345"/>
      <c r="AB55" s="345"/>
      <c r="AC55" s="319"/>
      <c r="AD55" s="108"/>
    </row>
    <row r="56" spans="3:30" ht="13.9" customHeight="1" thickBot="1">
      <c r="C56" s="88"/>
      <c r="D56" s="88"/>
      <c r="E56" s="88"/>
      <c r="F56" s="88"/>
      <c r="M56" s="132" t="s">
        <v>207</v>
      </c>
      <c r="N56" s="140" t="s">
        <v>264</v>
      </c>
      <c r="O56" s="261"/>
      <c r="P56" s="261"/>
      <c r="Q56" s="261" t="s">
        <v>265</v>
      </c>
      <c r="R56" s="136"/>
      <c r="S56" s="140" t="s">
        <v>266</v>
      </c>
      <c r="T56" s="240" t="s">
        <v>267</v>
      </c>
      <c r="U56" s="240"/>
      <c r="V56" s="261"/>
      <c r="W56" s="136"/>
      <c r="X56" s="504"/>
      <c r="Y56" s="140"/>
      <c r="Z56" s="261" t="s">
        <v>246</v>
      </c>
      <c r="AA56" s="261" t="s">
        <v>247</v>
      </c>
      <c r="AB56" s="261" t="s">
        <v>248</v>
      </c>
      <c r="AC56" s="136" t="s">
        <v>249</v>
      </c>
      <c r="AD56" s="108"/>
    </row>
    <row r="57" spans="3:30" ht="15" customHeight="1" thickBot="1">
      <c r="C57" s="88"/>
      <c r="D57" s="88"/>
      <c r="E57" s="88"/>
      <c r="F57" s="88"/>
      <c r="M57" s="114"/>
      <c r="N57" s="115"/>
      <c r="O57" s="116"/>
      <c r="P57" s="116"/>
      <c r="Q57" s="116"/>
      <c r="R57" s="117"/>
      <c r="S57" s="115"/>
      <c r="T57" s="116"/>
      <c r="U57" s="116"/>
      <c r="V57" s="116"/>
      <c r="W57" s="117"/>
      <c r="X57" s="118">
        <f>SUM(X54:X56)</f>
        <v>0</v>
      </c>
      <c r="Y57" s="115"/>
      <c r="Z57" s="116"/>
      <c r="AA57" s="116"/>
      <c r="AB57" s="116"/>
      <c r="AC57" s="117"/>
      <c r="AD57" s="108"/>
    </row>
    <row r="58" spans="3:30">
      <c r="C58" s="88"/>
      <c r="D58" s="88"/>
      <c r="E58" s="88"/>
      <c r="F58" s="88"/>
      <c r="M58" s="70" t="s">
        <v>203</v>
      </c>
      <c r="N58" s="137" t="s">
        <v>258</v>
      </c>
      <c r="O58" s="134" t="s">
        <v>257</v>
      </c>
      <c r="P58" s="134"/>
      <c r="Q58" s="134" t="s">
        <v>259</v>
      </c>
      <c r="R58" s="138"/>
      <c r="S58" s="138" t="s">
        <v>260</v>
      </c>
      <c r="T58" s="134"/>
      <c r="U58" s="134"/>
      <c r="V58" s="134"/>
      <c r="W58" s="139"/>
      <c r="X58" s="504"/>
      <c r="Y58" s="137"/>
      <c r="Z58" s="134" t="s">
        <v>246</v>
      </c>
      <c r="AA58" s="134" t="s">
        <v>262</v>
      </c>
      <c r="AB58" s="134" t="s">
        <v>248</v>
      </c>
      <c r="AC58" s="139" t="s">
        <v>249</v>
      </c>
      <c r="AD58" s="108"/>
    </row>
    <row r="59" spans="3:30">
      <c r="C59" s="88"/>
      <c r="D59" s="88"/>
      <c r="E59" s="88"/>
      <c r="F59" s="88"/>
      <c r="M59" s="311" t="s">
        <v>263</v>
      </c>
      <c r="N59" s="318"/>
      <c r="O59" s="345"/>
      <c r="P59" s="345"/>
      <c r="Q59" s="345"/>
      <c r="R59" s="293"/>
      <c r="S59" s="318"/>
      <c r="T59" s="345"/>
      <c r="U59" s="345"/>
      <c r="V59" s="345"/>
      <c r="W59" s="319"/>
      <c r="X59" s="504"/>
      <c r="Y59" s="318"/>
      <c r="Z59" s="345"/>
      <c r="AA59" s="345"/>
      <c r="AB59" s="345"/>
      <c r="AC59" s="319"/>
      <c r="AD59" s="108"/>
    </row>
    <row r="60" spans="3:30" ht="13.9" customHeight="1" thickBot="1">
      <c r="C60" s="88"/>
      <c r="D60" s="88"/>
      <c r="E60" s="88"/>
      <c r="F60" s="88"/>
      <c r="M60" s="132" t="s">
        <v>207</v>
      </c>
      <c r="N60" s="140" t="s">
        <v>264</v>
      </c>
      <c r="O60" s="261"/>
      <c r="P60" s="261"/>
      <c r="Q60" s="261" t="s">
        <v>265</v>
      </c>
      <c r="R60" s="136"/>
      <c r="S60" s="140" t="s">
        <v>266</v>
      </c>
      <c r="T60" s="240" t="s">
        <v>267</v>
      </c>
      <c r="U60" s="240"/>
      <c r="V60" s="261"/>
      <c r="W60" s="136"/>
      <c r="X60" s="504"/>
      <c r="Y60" s="140"/>
      <c r="Z60" s="261" t="s">
        <v>246</v>
      </c>
      <c r="AA60" s="261" t="s">
        <v>247</v>
      </c>
      <c r="AB60" s="261" t="s">
        <v>248</v>
      </c>
      <c r="AC60" s="136" t="s">
        <v>249</v>
      </c>
      <c r="AD60" s="108"/>
    </row>
    <row r="61" spans="3:30" ht="15" customHeight="1" thickBot="1">
      <c r="C61" s="88"/>
      <c r="D61" s="88"/>
      <c r="E61" s="88"/>
      <c r="F61" s="88"/>
      <c r="M61" s="114"/>
      <c r="N61" s="115"/>
      <c r="O61" s="116"/>
      <c r="P61" s="116"/>
      <c r="Q61" s="116"/>
      <c r="R61" s="117"/>
      <c r="S61" s="115"/>
      <c r="T61" s="116"/>
      <c r="U61" s="116"/>
      <c r="V61" s="116"/>
      <c r="W61" s="117"/>
      <c r="X61" s="118">
        <f>SUM(X58:X60)</f>
        <v>0</v>
      </c>
      <c r="Y61" s="115"/>
      <c r="Z61" s="116"/>
      <c r="AA61" s="116"/>
      <c r="AB61" s="116"/>
      <c r="AC61" s="117"/>
      <c r="AD61" s="108"/>
    </row>
    <row r="62" spans="3:30" ht="15" customHeight="1" thickBot="1">
      <c r="M62" s="114"/>
      <c r="N62" s="115"/>
      <c r="O62" s="116"/>
      <c r="P62" s="116"/>
      <c r="Q62" s="116"/>
      <c r="R62" s="117"/>
      <c r="S62" s="115"/>
      <c r="T62" s="116"/>
      <c r="U62" s="116"/>
      <c r="V62" s="116"/>
      <c r="W62" s="117"/>
      <c r="X62" s="118">
        <f>SUM(X59:X61)</f>
        <v>0</v>
      </c>
      <c r="Y62" s="115"/>
      <c r="Z62" s="116"/>
      <c r="AA62" s="116"/>
      <c r="AB62" s="116"/>
      <c r="AC62" s="117"/>
      <c r="AD62" s="108"/>
    </row>
    <row r="64" spans="3:30">
      <c r="H64" s="4"/>
    </row>
    <row r="65" spans="8:8">
      <c r="H65" s="4"/>
    </row>
    <row r="66" spans="8:8">
      <c r="H66" s="4"/>
    </row>
    <row r="67" spans="8:8">
      <c r="H67" s="4"/>
    </row>
    <row r="68" spans="8:8">
      <c r="H68" s="4"/>
    </row>
    <row r="78" spans="8:8" ht="15" customHeight="1"/>
    <row r="80" spans="8:8" ht="13.9" customHeight="1" thickBot="1"/>
    <row r="81" spans="2:9" ht="13.9" customHeight="1" thickBot="1">
      <c r="B81" s="839" t="s">
        <v>126</v>
      </c>
      <c r="C81" s="904"/>
      <c r="D81" s="904"/>
      <c r="E81" s="19"/>
      <c r="F81" s="21" t="s">
        <v>268</v>
      </c>
      <c r="G81" s="21"/>
    </row>
    <row r="82" spans="2:9" ht="14.25" customHeight="1">
      <c r="B82" s="20"/>
      <c r="C82" s="21" t="s">
        <v>269</v>
      </c>
      <c r="D82" s="21" t="s">
        <v>270</v>
      </c>
      <c r="E82" s="22" t="s">
        <v>271</v>
      </c>
      <c r="F82" s="21" t="s">
        <v>269</v>
      </c>
      <c r="G82" s="21" t="s">
        <v>270</v>
      </c>
      <c r="H82" s="22" t="s">
        <v>271</v>
      </c>
      <c r="I82" s="41" t="s">
        <v>272</v>
      </c>
    </row>
    <row r="83" spans="2:9">
      <c r="B83" s="320" t="s">
        <v>273</v>
      </c>
      <c r="C83" s="347">
        <v>2</v>
      </c>
      <c r="D83" s="347">
        <v>9</v>
      </c>
      <c r="E83" s="321">
        <f t="shared" ref="E83:E97" si="2">SUM(C83:D83)</f>
        <v>11</v>
      </c>
      <c r="F83" s="493"/>
      <c r="G83" s="347"/>
      <c r="H83" s="348">
        <f t="shared" ref="H83:H97" si="3">SUM(F83:G83)</f>
        <v>0</v>
      </c>
    </row>
    <row r="84" spans="2:9">
      <c r="B84" s="15" t="s">
        <v>274</v>
      </c>
      <c r="C84" s="279">
        <v>3</v>
      </c>
      <c r="D84" s="279">
        <v>9</v>
      </c>
      <c r="E84" s="104">
        <f t="shared" si="2"/>
        <v>12</v>
      </c>
      <c r="F84" s="505"/>
      <c r="G84" s="279">
        <v>1</v>
      </c>
      <c r="H84" s="104">
        <f t="shared" si="3"/>
        <v>1</v>
      </c>
    </row>
    <row r="85" spans="2:9">
      <c r="B85" s="322" t="s">
        <v>138</v>
      </c>
      <c r="C85" s="349">
        <v>0</v>
      </c>
      <c r="D85" s="349">
        <v>1</v>
      </c>
      <c r="E85" s="321">
        <f t="shared" si="2"/>
        <v>1</v>
      </c>
      <c r="F85" s="494"/>
      <c r="G85" s="349"/>
      <c r="H85" s="321">
        <f t="shared" si="3"/>
        <v>0</v>
      </c>
    </row>
    <row r="86" spans="2:9">
      <c r="B86" s="322" t="s">
        <v>150</v>
      </c>
      <c r="C86" s="349">
        <v>0</v>
      </c>
      <c r="D86" s="349">
        <v>1</v>
      </c>
      <c r="E86" s="321">
        <f t="shared" si="2"/>
        <v>1</v>
      </c>
      <c r="F86" s="494"/>
      <c r="G86" s="349"/>
      <c r="H86" s="321">
        <f t="shared" si="3"/>
        <v>0</v>
      </c>
    </row>
    <row r="87" spans="2:9">
      <c r="B87" s="322" t="s">
        <v>142</v>
      </c>
      <c r="C87" s="349"/>
      <c r="D87" s="349"/>
      <c r="E87" s="321">
        <f t="shared" si="2"/>
        <v>0</v>
      </c>
      <c r="F87" s="494"/>
      <c r="G87" s="349">
        <v>0</v>
      </c>
      <c r="H87" s="321">
        <f t="shared" si="3"/>
        <v>0</v>
      </c>
    </row>
    <row r="88" spans="2:9" ht="26.45" customHeight="1">
      <c r="B88" s="38" t="s">
        <v>145</v>
      </c>
      <c r="C88" s="349">
        <v>1</v>
      </c>
      <c r="D88" s="349">
        <v>1</v>
      </c>
      <c r="E88" s="321">
        <f t="shared" si="2"/>
        <v>2</v>
      </c>
      <c r="F88" s="494"/>
      <c r="G88" s="349">
        <v>0</v>
      </c>
      <c r="H88" s="321">
        <f t="shared" si="3"/>
        <v>0</v>
      </c>
    </row>
    <row r="89" spans="2:9">
      <c r="B89" s="322" t="s">
        <v>165</v>
      </c>
      <c r="C89" s="349"/>
      <c r="D89" s="349"/>
      <c r="E89" s="321">
        <f t="shared" si="2"/>
        <v>0</v>
      </c>
      <c r="F89" s="494"/>
      <c r="G89" s="349">
        <v>0</v>
      </c>
      <c r="H89" s="321">
        <f t="shared" si="3"/>
        <v>0</v>
      </c>
    </row>
    <row r="90" spans="2:9">
      <c r="B90" s="322" t="s">
        <v>160</v>
      </c>
      <c r="C90" s="349"/>
      <c r="D90" s="349"/>
      <c r="E90" s="321">
        <f t="shared" si="2"/>
        <v>0</v>
      </c>
      <c r="F90" s="494"/>
      <c r="G90" s="349"/>
      <c r="H90" s="321">
        <f t="shared" si="3"/>
        <v>0</v>
      </c>
    </row>
    <row r="91" spans="2:9">
      <c r="B91" s="322" t="s">
        <v>132</v>
      </c>
      <c r="C91" s="349">
        <v>0</v>
      </c>
      <c r="D91" s="349">
        <v>1</v>
      </c>
      <c r="E91" s="321">
        <f t="shared" si="2"/>
        <v>1</v>
      </c>
      <c r="F91" s="494"/>
      <c r="G91" s="349">
        <v>0</v>
      </c>
      <c r="H91" s="321">
        <f t="shared" si="3"/>
        <v>0</v>
      </c>
    </row>
    <row r="92" spans="2:9">
      <c r="B92" s="322" t="s">
        <v>171</v>
      </c>
      <c r="C92" s="349">
        <v>0</v>
      </c>
      <c r="D92" s="349">
        <v>0</v>
      </c>
      <c r="E92" s="321">
        <f t="shared" si="2"/>
        <v>0</v>
      </c>
      <c r="F92" s="494"/>
      <c r="G92" s="349">
        <v>0</v>
      </c>
      <c r="H92" s="321">
        <f t="shared" si="3"/>
        <v>0</v>
      </c>
    </row>
    <row r="93" spans="2:9">
      <c r="B93" s="322" t="s">
        <v>174</v>
      </c>
      <c r="C93" s="349">
        <v>0</v>
      </c>
      <c r="D93" s="349">
        <v>0</v>
      </c>
      <c r="E93" s="321">
        <f t="shared" si="2"/>
        <v>0</v>
      </c>
      <c r="F93" s="494"/>
      <c r="G93" s="349">
        <v>0</v>
      </c>
      <c r="H93" s="321">
        <f t="shared" si="3"/>
        <v>0</v>
      </c>
    </row>
    <row r="94" spans="2:9">
      <c r="B94" s="322" t="s">
        <v>156</v>
      </c>
      <c r="C94" s="349">
        <v>1</v>
      </c>
      <c r="D94" s="349">
        <v>0</v>
      </c>
      <c r="E94" s="321">
        <f t="shared" si="2"/>
        <v>1</v>
      </c>
      <c r="F94" s="494"/>
      <c r="G94" s="349">
        <v>0</v>
      </c>
      <c r="H94" s="321">
        <f t="shared" si="3"/>
        <v>0</v>
      </c>
    </row>
    <row r="95" spans="2:9">
      <c r="B95" s="322" t="s">
        <v>183</v>
      </c>
      <c r="C95" s="349">
        <v>0</v>
      </c>
      <c r="D95" s="349">
        <v>0</v>
      </c>
      <c r="E95" s="321">
        <f t="shared" si="2"/>
        <v>0</v>
      </c>
      <c r="F95" s="494"/>
      <c r="G95" s="349">
        <v>0</v>
      </c>
      <c r="H95" s="321">
        <f t="shared" si="3"/>
        <v>0</v>
      </c>
    </row>
    <row r="96" spans="2:9">
      <c r="B96" s="323" t="s">
        <v>189</v>
      </c>
      <c r="C96" s="350">
        <v>0</v>
      </c>
      <c r="D96" s="350">
        <v>0</v>
      </c>
      <c r="E96" s="324">
        <f t="shared" si="2"/>
        <v>0</v>
      </c>
      <c r="F96" s="385"/>
      <c r="G96" s="349">
        <v>0</v>
      </c>
      <c r="H96" s="321">
        <f t="shared" si="3"/>
        <v>0</v>
      </c>
    </row>
    <row r="97" spans="1:8" ht="13.9" customHeight="1" thickBot="1">
      <c r="B97" s="8" t="s">
        <v>192</v>
      </c>
      <c r="C97" s="263">
        <v>0</v>
      </c>
      <c r="D97" s="263">
        <v>0</v>
      </c>
      <c r="E97" s="23">
        <f t="shared" si="2"/>
        <v>0</v>
      </c>
      <c r="F97" s="264"/>
      <c r="G97" s="263">
        <v>0</v>
      </c>
      <c r="H97" s="23">
        <f t="shared" si="3"/>
        <v>0</v>
      </c>
    </row>
    <row r="98" spans="1:8" ht="13.9" customHeight="1" thickBot="1"/>
    <row r="99" spans="1:8" ht="13.9" customHeight="1" thickBot="1">
      <c r="B99" s="31" t="s">
        <v>197</v>
      </c>
      <c r="C99" s="32"/>
      <c r="D99" s="32"/>
      <c r="E99" s="33"/>
      <c r="F99" s="31" t="s">
        <v>275</v>
      </c>
      <c r="G99" s="32"/>
      <c r="H99" s="33"/>
    </row>
    <row r="100" spans="1:8" ht="13.9" customHeight="1" thickBot="1">
      <c r="B100" s="16"/>
      <c r="C100" s="17" t="s">
        <v>269</v>
      </c>
      <c r="D100" s="17" t="s">
        <v>270</v>
      </c>
      <c r="E100" s="18" t="s">
        <v>271</v>
      </c>
      <c r="F100" s="16" t="s">
        <v>269</v>
      </c>
      <c r="G100" s="17" t="s">
        <v>270</v>
      </c>
      <c r="H100" s="18" t="s">
        <v>271</v>
      </c>
    </row>
    <row r="101" spans="1:8">
      <c r="B101" s="10" t="s">
        <v>276</v>
      </c>
      <c r="C101" s="11">
        <v>10</v>
      </c>
      <c r="D101" s="11">
        <v>8</v>
      </c>
      <c r="E101" s="325">
        <f>SUM(C101:D101)</f>
        <v>18</v>
      </c>
      <c r="F101" s="12">
        <v>1</v>
      </c>
      <c r="G101" s="11"/>
      <c r="H101" s="24">
        <f>SUM(F101:G101)</f>
        <v>1</v>
      </c>
    </row>
    <row r="102" spans="1:8">
      <c r="B102" s="322" t="s">
        <v>277</v>
      </c>
      <c r="C102" s="349"/>
      <c r="D102" s="349"/>
      <c r="E102" s="325">
        <f>SUM(C102:D102)</f>
        <v>0</v>
      </c>
      <c r="F102" s="326"/>
      <c r="G102" s="349">
        <v>1</v>
      </c>
      <c r="H102" s="325">
        <f>SUM(F102:G102)</f>
        <v>1</v>
      </c>
    </row>
    <row r="103" spans="1:8">
      <c r="B103" s="322" t="s">
        <v>278</v>
      </c>
      <c r="C103" s="349"/>
      <c r="D103" s="349"/>
      <c r="E103" s="325">
        <f>SUM(C103:D103)</f>
        <v>0</v>
      </c>
      <c r="F103" s="326">
        <v>1</v>
      </c>
      <c r="G103" s="349"/>
      <c r="H103" s="325">
        <f>SUM(F103:G103)</f>
        <v>1</v>
      </c>
    </row>
    <row r="104" spans="1:8">
      <c r="B104" s="102" t="s">
        <v>279</v>
      </c>
      <c r="C104" s="286"/>
      <c r="D104" s="286"/>
      <c r="E104" s="325">
        <f>SUM(C104:D104)</f>
        <v>0</v>
      </c>
      <c r="F104" s="103"/>
      <c r="G104" s="286"/>
      <c r="H104" s="325">
        <f>SUM(F104:G104)</f>
        <v>0</v>
      </c>
    </row>
    <row r="105" spans="1:8" ht="13.9" customHeight="1" thickBot="1">
      <c r="B105" s="8" t="s">
        <v>280</v>
      </c>
      <c r="C105" s="263"/>
      <c r="D105" s="263"/>
      <c r="E105" s="25">
        <f>SUM(C105:D105)</f>
        <v>0</v>
      </c>
      <c r="F105" s="13"/>
      <c r="G105" s="263"/>
      <c r="H105" s="25">
        <f>SUM(F105:G105)</f>
        <v>0</v>
      </c>
    </row>
    <row r="106" spans="1:8" ht="13.9" customHeight="1" thickBot="1"/>
    <row r="107" spans="1:8" ht="13.9" customHeight="1" thickBot="1">
      <c r="B107" s="34" t="s">
        <v>202</v>
      </c>
      <c r="C107" s="35"/>
      <c r="D107" s="35"/>
      <c r="E107" s="36"/>
      <c r="F107" s="73" t="s">
        <v>281</v>
      </c>
      <c r="G107" s="74"/>
      <c r="H107" s="75"/>
    </row>
    <row r="108" spans="1:8" ht="13.9" customHeight="1" thickBot="1">
      <c r="B108" s="9"/>
      <c r="C108" s="6" t="s">
        <v>269</v>
      </c>
      <c r="D108" s="6" t="s">
        <v>270</v>
      </c>
      <c r="E108" s="7" t="s">
        <v>271</v>
      </c>
      <c r="F108" s="34" t="s">
        <v>269</v>
      </c>
      <c r="G108" s="35" t="s">
        <v>270</v>
      </c>
      <c r="H108" s="36" t="s">
        <v>282</v>
      </c>
    </row>
    <row r="109" spans="1:8">
      <c r="A109" s="90" t="s">
        <v>283</v>
      </c>
      <c r="B109" s="10" t="s">
        <v>284</v>
      </c>
      <c r="C109" s="11">
        <v>7</v>
      </c>
      <c r="D109" s="11">
        <v>0</v>
      </c>
      <c r="E109" s="14">
        <f t="shared" ref="E109:E117" si="4">SUM(C109:D109)</f>
        <v>7</v>
      </c>
      <c r="F109" s="11"/>
      <c r="G109" s="11"/>
      <c r="H109" s="14">
        <f t="shared" ref="H109:H117" si="5">SUM(F109:G109)</f>
        <v>0</v>
      </c>
    </row>
    <row r="110" spans="1:8">
      <c r="A110" s="90" t="s">
        <v>283</v>
      </c>
      <c r="B110" s="322" t="s">
        <v>285</v>
      </c>
      <c r="C110" s="349">
        <v>5</v>
      </c>
      <c r="D110" s="349">
        <v>1</v>
      </c>
      <c r="E110" s="327">
        <f t="shared" si="4"/>
        <v>6</v>
      </c>
      <c r="F110" s="349"/>
      <c r="G110" s="349"/>
      <c r="H110" s="327">
        <f t="shared" si="5"/>
        <v>0</v>
      </c>
    </row>
    <row r="111" spans="1:8">
      <c r="A111" s="90" t="s">
        <v>283</v>
      </c>
      <c r="B111" s="323" t="s">
        <v>286</v>
      </c>
      <c r="C111" s="350">
        <v>3</v>
      </c>
      <c r="D111" s="349">
        <v>4</v>
      </c>
      <c r="E111" s="327">
        <f t="shared" si="4"/>
        <v>7</v>
      </c>
      <c r="F111" s="350"/>
      <c r="G111" s="349"/>
      <c r="H111" s="327">
        <f t="shared" si="5"/>
        <v>0</v>
      </c>
    </row>
    <row r="112" spans="1:8">
      <c r="A112" s="90" t="s">
        <v>283</v>
      </c>
      <c r="B112" s="322" t="s">
        <v>221</v>
      </c>
      <c r="C112" s="349">
        <v>22</v>
      </c>
      <c r="D112" s="349">
        <v>0</v>
      </c>
      <c r="E112" s="327">
        <f t="shared" si="4"/>
        <v>22</v>
      </c>
      <c r="F112" s="349"/>
      <c r="G112" s="349"/>
      <c r="H112" s="327">
        <f t="shared" si="5"/>
        <v>0</v>
      </c>
    </row>
    <row r="113" spans="1:10">
      <c r="B113" s="322" t="s">
        <v>230</v>
      </c>
      <c r="C113" s="349">
        <v>0</v>
      </c>
      <c r="D113" s="349">
        <v>0</v>
      </c>
      <c r="E113" s="327">
        <f t="shared" si="4"/>
        <v>0</v>
      </c>
      <c r="F113" s="349"/>
      <c r="G113" s="349"/>
      <c r="H113" s="327">
        <f t="shared" si="5"/>
        <v>0</v>
      </c>
      <c r="J113" t="s">
        <v>287</v>
      </c>
    </row>
    <row r="114" spans="1:10">
      <c r="A114" s="90" t="s">
        <v>283</v>
      </c>
      <c r="B114" s="322" t="s">
        <v>250</v>
      </c>
      <c r="C114" s="349">
        <v>0</v>
      </c>
      <c r="D114" s="349">
        <v>4</v>
      </c>
      <c r="E114" s="327">
        <f t="shared" si="4"/>
        <v>4</v>
      </c>
      <c r="F114" s="349"/>
      <c r="G114" s="349"/>
      <c r="H114" s="327">
        <f t="shared" si="5"/>
        <v>0</v>
      </c>
    </row>
    <row r="115" spans="1:10">
      <c r="B115" s="323" t="s">
        <v>288</v>
      </c>
      <c r="C115" s="350">
        <v>5</v>
      </c>
      <c r="D115" s="350">
        <v>0</v>
      </c>
      <c r="E115" s="327">
        <f t="shared" si="4"/>
        <v>5</v>
      </c>
      <c r="F115" s="350"/>
      <c r="G115" s="350"/>
      <c r="H115" s="327">
        <f t="shared" si="5"/>
        <v>0</v>
      </c>
    </row>
    <row r="116" spans="1:10">
      <c r="A116" s="90" t="s">
        <v>283</v>
      </c>
      <c r="B116" s="323" t="s">
        <v>226</v>
      </c>
      <c r="C116" s="350">
        <v>3</v>
      </c>
      <c r="D116" s="350">
        <v>0</v>
      </c>
      <c r="E116" s="327">
        <f t="shared" si="4"/>
        <v>3</v>
      </c>
      <c r="F116" s="350"/>
      <c r="G116" s="350"/>
      <c r="H116" s="327">
        <f t="shared" si="5"/>
        <v>0</v>
      </c>
    </row>
    <row r="117" spans="1:10" ht="13.9" customHeight="1" thickBot="1">
      <c r="A117" s="90" t="s">
        <v>283</v>
      </c>
      <c r="B117" s="8" t="s">
        <v>289</v>
      </c>
      <c r="C117" s="263">
        <v>4</v>
      </c>
      <c r="D117" s="263">
        <v>0</v>
      </c>
      <c r="E117" s="42">
        <f t="shared" si="4"/>
        <v>4</v>
      </c>
      <c r="F117" s="263"/>
      <c r="G117" s="263"/>
      <c r="H117" s="42">
        <f t="shared" si="5"/>
        <v>0</v>
      </c>
    </row>
    <row r="121" spans="1:10">
      <c r="D121" t="s">
        <v>30</v>
      </c>
      <c r="E121" t="s">
        <v>290</v>
      </c>
      <c r="F121" t="s">
        <v>291</v>
      </c>
      <c r="G121" t="s">
        <v>292</v>
      </c>
    </row>
    <row r="122" spans="1:10">
      <c r="C122" t="s">
        <v>293</v>
      </c>
      <c r="D122">
        <f>COUNTIF('  VACANCIES'!$J$1:$J$6,"Bára")</f>
        <v>0</v>
      </c>
      <c r="E122">
        <f>COUNTIF('  VACANCIES'!$J$51:$J$110,"Bára")</f>
        <v>0</v>
      </c>
      <c r="F122" t="e">
        <f>COUNTIF(#REF!,"Bára")</f>
        <v>#REF!</v>
      </c>
      <c r="G122" t="e">
        <f t="shared" ref="G122:G127" si="6">SUM(D122:F122)</f>
        <v>#REF!</v>
      </c>
    </row>
    <row r="123" spans="1:10">
      <c r="C123" t="s">
        <v>294</v>
      </c>
      <c r="D123">
        <f>COUNTIF('  VACANCIES'!$J$1:$J$6,"Terka")</f>
        <v>0</v>
      </c>
      <c r="E123">
        <f>COUNTIF('  VACANCIES'!$J$51:$J$110,"Terka")</f>
        <v>0</v>
      </c>
      <c r="F123" t="e">
        <f>COUNTIF(#REF!,"Terka")</f>
        <v>#REF!</v>
      </c>
      <c r="G123" t="e">
        <f t="shared" si="6"/>
        <v>#REF!</v>
      </c>
    </row>
    <row r="124" spans="1:10">
      <c r="C124" t="s">
        <v>295</v>
      </c>
      <c r="D124">
        <f>COUNTIF('  VACANCIES'!$J$1:$J$6,"Ondra")</f>
        <v>0</v>
      </c>
      <c r="E124">
        <f>COUNTIF('  VACANCIES'!$J$51:$J$110,"Ondra")</f>
        <v>1</v>
      </c>
      <c r="F124" t="e">
        <f>COUNTIF(#REF!,"Ondra")</f>
        <v>#REF!</v>
      </c>
      <c r="G124" t="e">
        <f t="shared" si="6"/>
        <v>#REF!</v>
      </c>
    </row>
    <row r="125" spans="1:10">
      <c r="C125" t="s">
        <v>296</v>
      </c>
      <c r="D125">
        <f>COUNTIF('  VACANCIES'!$J$1:$J$6,"Honza")</f>
        <v>0</v>
      </c>
      <c r="E125">
        <f>COUNTIF('  VACANCIES'!$J$51:$J$110,"Honza")</f>
        <v>0</v>
      </c>
      <c r="F125" t="e">
        <f>COUNTIF(#REF!,"Honza")</f>
        <v>#REF!</v>
      </c>
      <c r="G125" t="e">
        <f t="shared" si="6"/>
        <v>#REF!</v>
      </c>
    </row>
    <row r="126" spans="1:10">
      <c r="C126" t="s">
        <v>297</v>
      </c>
      <c r="D126">
        <f>COUNTIF('  VACANCIES'!$J$1:$J$6,"Romča")</f>
        <v>0</v>
      </c>
      <c r="E126">
        <f>COUNTIF('  VACANCIES'!$J$51:$J$110,"Romča")</f>
        <v>0</v>
      </c>
      <c r="F126" t="e">
        <f>COUNTIF(#REF!,"Romča")</f>
        <v>#REF!</v>
      </c>
      <c r="G126" t="e">
        <f t="shared" si="6"/>
        <v>#REF!</v>
      </c>
    </row>
    <row r="127" spans="1:10">
      <c r="C127" t="s">
        <v>298</v>
      </c>
      <c r="D127">
        <f>COUNTIF('  VACANCIES'!$J$1:$J$6,"Vlaďka")</f>
        <v>0</v>
      </c>
      <c r="E127">
        <f>COUNTIF('  VACANCIES'!$J$51:$J$110,"Vlaďka")</f>
        <v>0</v>
      </c>
      <c r="F127" t="e">
        <f>COUNTIF(#REF!,"Vlaďka")</f>
        <v>#REF!</v>
      </c>
      <c r="G127" t="e">
        <f t="shared" si="6"/>
        <v>#REF!</v>
      </c>
    </row>
  </sheetData>
  <mergeCells count="6">
    <mergeCell ref="E55:F55"/>
    <mergeCell ref="B81:D81"/>
    <mergeCell ref="A2:A22"/>
    <mergeCell ref="C55:D55"/>
    <mergeCell ref="A25:A38"/>
    <mergeCell ref="A40:A48"/>
  </mergeCells>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List1">
    <pageSetUpPr fitToPage="1"/>
  </sheetPr>
  <dimension ref="A1:AV191"/>
  <sheetViews>
    <sheetView showGridLines="0" view="pageBreakPreview" zoomScale="50" zoomScaleNormal="70" zoomScaleSheetLayoutView="50" zoomScalePageLayoutView="25" workbookViewId="0">
      <selection activeCell="F9" sqref="F9"/>
    </sheetView>
  </sheetViews>
  <sheetFormatPr defaultColWidth="8.42578125" defaultRowHeight="13.9"/>
  <cols>
    <col min="1" max="1" width="27.42578125" style="91" customWidth="1"/>
    <col min="2" max="2" width="15.5703125" style="30" customWidth="1"/>
    <col min="3" max="3" width="23" style="30" customWidth="1"/>
    <col min="4" max="4" width="27.85546875" style="30" customWidth="1"/>
    <col min="5" max="5" width="22.5703125" style="30" customWidth="1"/>
    <col min="6" max="6" width="21.140625" style="2" customWidth="1"/>
    <col min="7" max="7" width="22.42578125" style="1" customWidth="1"/>
    <col min="8" max="8" width="25.28515625" style="2" customWidth="1"/>
    <col min="9" max="9" width="25.5703125" style="2" customWidth="1"/>
    <col min="10" max="10" width="18" style="2" customWidth="1"/>
    <col min="11" max="11" width="29.7109375" style="2" customWidth="1"/>
    <col min="12" max="12" width="67.28515625" style="28" customWidth="1"/>
    <col min="13" max="13" width="10.5703125" style="29" customWidth="1"/>
    <col min="14" max="14" width="13.28515625" style="3" customWidth="1"/>
    <col min="15" max="15" width="11.5703125" style="3" customWidth="1"/>
    <col min="16" max="16" width="14.7109375" style="3" customWidth="1"/>
    <col min="17" max="22" width="8.42578125" style="1" customWidth="1"/>
    <col min="23" max="16384" width="8.42578125" style="1"/>
  </cols>
  <sheetData>
    <row r="1" spans="1:17" s="92" customFormat="1" ht="48.6" customHeight="1" thickBot="1">
      <c r="A1" s="97" t="s">
        <v>299</v>
      </c>
      <c r="B1" s="176" t="s">
        <v>300</v>
      </c>
      <c r="C1" s="176" t="s">
        <v>301</v>
      </c>
      <c r="D1" s="176" t="s">
        <v>302</v>
      </c>
      <c r="E1" s="176" t="s">
        <v>303</v>
      </c>
      <c r="F1" s="177" t="s">
        <v>304</v>
      </c>
      <c r="G1" s="177" t="s">
        <v>305</v>
      </c>
      <c r="H1" s="177" t="s">
        <v>306</v>
      </c>
      <c r="I1" s="177" t="s">
        <v>307</v>
      </c>
      <c r="J1" s="177" t="s">
        <v>308</v>
      </c>
      <c r="K1" s="177" t="s">
        <v>309</v>
      </c>
      <c r="L1" s="177" t="s">
        <v>310</v>
      </c>
      <c r="M1" s="185" t="s">
        <v>311</v>
      </c>
      <c r="N1" s="177" t="s">
        <v>19</v>
      </c>
      <c r="O1" s="177" t="s">
        <v>312</v>
      </c>
      <c r="P1" s="239" t="s">
        <v>313</v>
      </c>
    </row>
    <row r="2" spans="1:17" s="26" customFormat="1" ht="30.75" customHeight="1" thickBot="1">
      <c r="A2" s="265"/>
      <c r="B2" s="266" t="s">
        <v>314</v>
      </c>
      <c r="C2" s="266"/>
      <c r="D2" s="266"/>
      <c r="E2" s="267"/>
      <c r="F2" s="268"/>
      <c r="G2" s="871"/>
      <c r="H2" s="871"/>
      <c r="I2" s="871"/>
      <c r="J2" s="871"/>
      <c r="K2" s="871"/>
      <c r="L2" s="871"/>
      <c r="M2" s="871"/>
      <c r="N2" s="269" t="e">
        <f>SUM($N$3:$N$4)</f>
        <v>#REF!</v>
      </c>
      <c r="O2" s="269" t="e">
        <f>SUM($O$3:$O$4)</f>
        <v>#REF!</v>
      </c>
      <c r="P2" s="269" t="e">
        <f>SUM($P$3:$P$4)</f>
        <v>#REF!</v>
      </c>
    </row>
    <row r="3" spans="1:17" s="26" customFormat="1" ht="15" customHeight="1" thickBot="1">
      <c r="A3" s="184"/>
      <c r="B3" s="844"/>
      <c r="C3" s="845"/>
      <c r="D3" s="845"/>
      <c r="E3" s="845"/>
      <c r="F3" s="845"/>
      <c r="G3" s="845"/>
      <c r="H3" s="845"/>
      <c r="I3" s="845"/>
      <c r="J3" s="845"/>
      <c r="K3" s="845"/>
      <c r="L3" s="845"/>
      <c r="M3" s="846"/>
      <c r="N3" s="272" t="e">
        <f>SUM(#REF!,N50,N34)</f>
        <v>#REF!</v>
      </c>
      <c r="O3" s="272" t="e">
        <f>SUM(#REF!,O50,O34)</f>
        <v>#REF!</v>
      </c>
      <c r="P3" s="237" t="e">
        <f>SUM(#REF!,P50,P34,P43)</f>
        <v>#REF!</v>
      </c>
    </row>
    <row r="4" spans="1:17" s="5" customFormat="1" ht="15" customHeight="1" thickBot="1">
      <c r="A4" s="98"/>
      <c r="B4" s="844" t="s">
        <v>315</v>
      </c>
      <c r="C4" s="845"/>
      <c r="D4" s="845"/>
      <c r="E4" s="846"/>
      <c r="F4" s="178"/>
      <c r="G4" s="179"/>
      <c r="H4" s="178"/>
      <c r="I4" s="179"/>
      <c r="J4" s="179"/>
      <c r="K4" s="405"/>
      <c r="L4" s="515"/>
      <c r="M4" s="516"/>
      <c r="N4" s="517">
        <f>SUM(N5:N27)</f>
        <v>195.63</v>
      </c>
      <c r="O4" s="236">
        <f>SUM(O5:O27)</f>
        <v>171.14</v>
      </c>
      <c r="P4" s="236">
        <f>SUM(P5:P29)</f>
        <v>37</v>
      </c>
    </row>
    <row r="5" spans="1:17" s="5" customFormat="1" ht="96" customHeight="1">
      <c r="A5" s="351" t="s">
        <v>316</v>
      </c>
      <c r="B5" s="352">
        <v>45782</v>
      </c>
      <c r="C5" s="351">
        <f t="shared" ref="C5:C27" ca="1" si="0">_xlfn.DAYS(TODAY(),B5)</f>
        <v>303</v>
      </c>
      <c r="D5" s="404" t="s">
        <v>317</v>
      </c>
      <c r="E5" s="353" t="s">
        <v>318</v>
      </c>
      <c r="F5" s="351" t="s">
        <v>319</v>
      </c>
      <c r="G5" s="354" t="s">
        <v>320</v>
      </c>
      <c r="H5" s="355" t="s">
        <v>321</v>
      </c>
      <c r="I5" s="351" t="s">
        <v>322</v>
      </c>
      <c r="J5" s="351" t="s">
        <v>323</v>
      </c>
      <c r="K5" s="353" t="s">
        <v>324</v>
      </c>
      <c r="L5" s="360" t="s">
        <v>325</v>
      </c>
      <c r="M5" s="353">
        <v>150</v>
      </c>
      <c r="N5" s="378">
        <v>51.63</v>
      </c>
      <c r="O5" s="356">
        <v>44.38</v>
      </c>
      <c r="P5" s="357">
        <v>7</v>
      </c>
    </row>
    <row r="6" spans="1:17" s="5" customFormat="1" ht="105.75" customHeight="1">
      <c r="A6" s="335" t="s">
        <v>316</v>
      </c>
      <c r="B6" s="358">
        <v>45810</v>
      </c>
      <c r="C6" s="335">
        <f t="shared" ref="C6:C11" ca="1" si="1">_xlfn.DAYS(TODAY(),B6)</f>
        <v>275</v>
      </c>
      <c r="D6" s="425" t="s">
        <v>326</v>
      </c>
      <c r="E6" s="335" t="s">
        <v>318</v>
      </c>
      <c r="F6" s="335" t="s">
        <v>327</v>
      </c>
      <c r="G6" s="335" t="s">
        <v>320</v>
      </c>
      <c r="H6" s="359" t="s">
        <v>328</v>
      </c>
      <c r="I6" s="335" t="s">
        <v>329</v>
      </c>
      <c r="J6" s="335" t="s">
        <v>330</v>
      </c>
      <c r="K6" s="335" t="s">
        <v>331</v>
      </c>
      <c r="L6" s="360" t="s">
        <v>332</v>
      </c>
      <c r="M6" s="335">
        <v>68</v>
      </c>
      <c r="N6" s="336">
        <v>45</v>
      </c>
      <c r="O6" s="336">
        <v>38.76</v>
      </c>
      <c r="P6" s="361">
        <v>5</v>
      </c>
      <c r="Q6" s="671" t="s">
        <v>333</v>
      </c>
    </row>
    <row r="7" spans="1:17" s="5" customFormat="1" ht="60" customHeight="1">
      <c r="A7" s="335" t="s">
        <v>334</v>
      </c>
      <c r="B7" s="358">
        <v>45805</v>
      </c>
      <c r="C7" s="353">
        <f t="shared" ca="1" si="1"/>
        <v>280</v>
      </c>
      <c r="D7" s="425">
        <v>169911</v>
      </c>
      <c r="E7" s="335" t="s">
        <v>335</v>
      </c>
      <c r="F7" s="335" t="s">
        <v>336</v>
      </c>
      <c r="G7" s="335" t="s">
        <v>337</v>
      </c>
      <c r="H7" s="359" t="s">
        <v>338</v>
      </c>
      <c r="I7" s="335" t="s">
        <v>339</v>
      </c>
      <c r="J7" s="335" t="s">
        <v>295</v>
      </c>
      <c r="K7" s="335" t="s">
        <v>340</v>
      </c>
      <c r="L7" s="360" t="s">
        <v>341</v>
      </c>
      <c r="M7" s="335">
        <v>11</v>
      </c>
      <c r="N7" s="336">
        <v>4</v>
      </c>
      <c r="O7" s="336">
        <v>4</v>
      </c>
      <c r="P7" s="361">
        <v>1</v>
      </c>
    </row>
    <row r="8" spans="1:17" s="5" customFormat="1" ht="63.6" customHeight="1">
      <c r="A8" s="335" t="s">
        <v>342</v>
      </c>
      <c r="B8" s="358">
        <v>45786</v>
      </c>
      <c r="C8" s="335">
        <f t="shared" ca="1" si="1"/>
        <v>299</v>
      </c>
      <c r="D8" s="425">
        <v>168637</v>
      </c>
      <c r="E8" s="335" t="s">
        <v>343</v>
      </c>
      <c r="F8" s="335" t="s">
        <v>344</v>
      </c>
      <c r="G8" s="335" t="s">
        <v>345</v>
      </c>
      <c r="H8" s="359" t="s">
        <v>346</v>
      </c>
      <c r="I8" s="335" t="s">
        <v>333</v>
      </c>
      <c r="J8" s="335" t="s">
        <v>295</v>
      </c>
      <c r="K8" s="335" t="s">
        <v>347</v>
      </c>
      <c r="L8" s="583" t="s">
        <v>348</v>
      </c>
      <c r="M8" s="335">
        <v>5</v>
      </c>
      <c r="N8" s="336">
        <v>2</v>
      </c>
      <c r="O8" s="336">
        <v>2</v>
      </c>
      <c r="P8" s="361">
        <v>1</v>
      </c>
    </row>
    <row r="9" spans="1:17" s="5" customFormat="1" ht="96.75" customHeight="1">
      <c r="A9" s="335" t="s">
        <v>349</v>
      </c>
      <c r="B9" s="358">
        <v>45789</v>
      </c>
      <c r="C9" s="335">
        <f t="shared" ca="1" si="1"/>
        <v>296</v>
      </c>
      <c r="D9" s="425">
        <v>168789</v>
      </c>
      <c r="E9" s="335" t="s">
        <v>343</v>
      </c>
      <c r="F9" s="335" t="s">
        <v>350</v>
      </c>
      <c r="G9" s="335" t="s">
        <v>351</v>
      </c>
      <c r="H9" s="359" t="s">
        <v>346</v>
      </c>
      <c r="I9" s="335" t="s">
        <v>352</v>
      </c>
      <c r="J9" s="335" t="s">
        <v>353</v>
      </c>
      <c r="K9" s="353" t="s">
        <v>354</v>
      </c>
      <c r="L9" s="583" t="s">
        <v>355</v>
      </c>
      <c r="M9" s="335">
        <v>5</v>
      </c>
      <c r="N9" s="336">
        <v>1</v>
      </c>
      <c r="O9" s="336">
        <v>1</v>
      </c>
      <c r="P9" s="361">
        <v>1</v>
      </c>
    </row>
    <row r="10" spans="1:17" s="5" customFormat="1" ht="96.75" customHeight="1">
      <c r="A10" s="335" t="s">
        <v>356</v>
      </c>
      <c r="B10" s="358">
        <v>45789</v>
      </c>
      <c r="C10" s="335">
        <f t="shared" ca="1" si="1"/>
        <v>296</v>
      </c>
      <c r="D10" s="425">
        <v>168935</v>
      </c>
      <c r="E10" s="335" t="s">
        <v>343</v>
      </c>
      <c r="F10" s="335" t="s">
        <v>357</v>
      </c>
      <c r="G10" s="335" t="s">
        <v>358</v>
      </c>
      <c r="H10" s="359" t="s">
        <v>346</v>
      </c>
      <c r="I10" s="335" t="s">
        <v>352</v>
      </c>
      <c r="J10" s="335" t="s">
        <v>353</v>
      </c>
      <c r="K10" s="353" t="s">
        <v>354</v>
      </c>
      <c r="L10" s="583" t="s">
        <v>359</v>
      </c>
      <c r="M10" s="335">
        <v>0</v>
      </c>
      <c r="N10" s="336">
        <v>2</v>
      </c>
      <c r="O10" s="336">
        <v>2</v>
      </c>
      <c r="P10" s="361">
        <v>2</v>
      </c>
    </row>
    <row r="11" spans="1:17" s="5" customFormat="1" ht="96.75" customHeight="1">
      <c r="A11" s="335" t="s">
        <v>360</v>
      </c>
      <c r="B11" s="358">
        <v>45818</v>
      </c>
      <c r="C11" s="335">
        <f t="shared" ca="1" si="1"/>
        <v>267</v>
      </c>
      <c r="D11" s="425" t="s">
        <v>361</v>
      </c>
      <c r="E11" s="335" t="s">
        <v>343</v>
      </c>
      <c r="F11" s="335" t="s">
        <v>357</v>
      </c>
      <c r="G11" s="335" t="s">
        <v>362</v>
      </c>
      <c r="H11" s="359" t="s">
        <v>346</v>
      </c>
      <c r="I11" s="335" t="s">
        <v>363</v>
      </c>
      <c r="J11" s="335" t="s">
        <v>353</v>
      </c>
      <c r="K11" s="353" t="s">
        <v>354</v>
      </c>
      <c r="L11" s="583" t="s">
        <v>364</v>
      </c>
      <c r="M11" s="335">
        <v>0</v>
      </c>
      <c r="N11" s="336">
        <v>1</v>
      </c>
      <c r="O11" s="336">
        <v>1</v>
      </c>
      <c r="P11" s="361">
        <v>1</v>
      </c>
    </row>
    <row r="12" spans="1:17" s="5" customFormat="1" ht="78.75" customHeight="1">
      <c r="A12" s="335" t="s">
        <v>365</v>
      </c>
      <c r="B12" s="358">
        <v>45751</v>
      </c>
      <c r="C12" s="335">
        <f t="shared" ca="1" si="0"/>
        <v>334</v>
      </c>
      <c r="D12" s="425">
        <v>170526</v>
      </c>
      <c r="E12" s="335" t="s">
        <v>366</v>
      </c>
      <c r="F12" s="335" t="s">
        <v>367</v>
      </c>
      <c r="G12" s="335" t="s">
        <v>368</v>
      </c>
      <c r="H12" s="355" t="s">
        <v>346</v>
      </c>
      <c r="I12" s="335" t="s">
        <v>369</v>
      </c>
      <c r="J12" s="335" t="s">
        <v>353</v>
      </c>
      <c r="K12" s="353" t="s">
        <v>370</v>
      </c>
      <c r="L12" s="739" t="s">
        <v>371</v>
      </c>
      <c r="M12" s="335">
        <v>3</v>
      </c>
      <c r="N12" s="336">
        <v>1</v>
      </c>
      <c r="O12" s="336">
        <v>1</v>
      </c>
      <c r="P12" s="361">
        <v>1</v>
      </c>
    </row>
    <row r="13" spans="1:17" s="5" customFormat="1" ht="78.75" customHeight="1">
      <c r="A13" s="335" t="s">
        <v>372</v>
      </c>
      <c r="B13" s="358">
        <v>45784</v>
      </c>
      <c r="C13" s="335">
        <f t="shared" ref="C13:C16" ca="1" si="2">_xlfn.DAYS(TODAY(),B13)</f>
        <v>301</v>
      </c>
      <c r="D13" s="425">
        <v>168872</v>
      </c>
      <c r="E13" s="335" t="s">
        <v>366</v>
      </c>
      <c r="F13" s="335" t="s">
        <v>367</v>
      </c>
      <c r="G13" s="335" t="s">
        <v>373</v>
      </c>
      <c r="H13" s="355" t="s">
        <v>346</v>
      </c>
      <c r="I13" s="335" t="s">
        <v>374</v>
      </c>
      <c r="J13" s="335" t="s">
        <v>353</v>
      </c>
      <c r="K13" s="353" t="s">
        <v>370</v>
      </c>
      <c r="L13" s="740" t="s">
        <v>375</v>
      </c>
      <c r="M13" s="335">
        <v>2</v>
      </c>
      <c r="N13" s="336">
        <v>2</v>
      </c>
      <c r="O13" s="336">
        <v>2</v>
      </c>
      <c r="P13" s="361">
        <v>1</v>
      </c>
    </row>
    <row r="14" spans="1:17" s="5" customFormat="1" ht="56.45" customHeight="1">
      <c r="A14" s="353" t="s">
        <v>376</v>
      </c>
      <c r="B14" s="370">
        <v>45720</v>
      </c>
      <c r="C14" s="353">
        <f t="shared" ca="1" si="2"/>
        <v>365</v>
      </c>
      <c r="D14" s="425">
        <v>165269</v>
      </c>
      <c r="E14" s="353" t="s">
        <v>377</v>
      </c>
      <c r="F14" s="353" t="s">
        <v>378</v>
      </c>
      <c r="G14" s="353" t="s">
        <v>379</v>
      </c>
      <c r="H14" s="355" t="s">
        <v>346</v>
      </c>
      <c r="I14" s="353" t="s">
        <v>380</v>
      </c>
      <c r="J14" s="353" t="s">
        <v>295</v>
      </c>
      <c r="K14" s="353" t="s">
        <v>381</v>
      </c>
      <c r="L14" s="360" t="s">
        <v>382</v>
      </c>
      <c r="M14" s="353">
        <v>6</v>
      </c>
      <c r="N14" s="378">
        <v>4</v>
      </c>
      <c r="O14" s="378">
        <v>4</v>
      </c>
      <c r="P14" s="379">
        <v>1</v>
      </c>
    </row>
    <row r="15" spans="1:17" s="5" customFormat="1" ht="56.45" customHeight="1">
      <c r="A15" s="353" t="s">
        <v>383</v>
      </c>
      <c r="B15" s="370">
        <v>45796</v>
      </c>
      <c r="C15" s="353">
        <f t="shared" ca="1" si="2"/>
        <v>289</v>
      </c>
      <c r="D15" s="425">
        <v>168877</v>
      </c>
      <c r="E15" s="353" t="s">
        <v>377</v>
      </c>
      <c r="F15" s="353" t="s">
        <v>378</v>
      </c>
      <c r="G15" s="353" t="s">
        <v>384</v>
      </c>
      <c r="H15" s="355" t="s">
        <v>385</v>
      </c>
      <c r="I15" s="353" t="s">
        <v>386</v>
      </c>
      <c r="J15" s="353" t="s">
        <v>298</v>
      </c>
      <c r="K15" s="353" t="s">
        <v>387</v>
      </c>
      <c r="L15" s="360" t="s">
        <v>388</v>
      </c>
      <c r="M15" s="353">
        <v>2</v>
      </c>
      <c r="N15" s="638">
        <v>1</v>
      </c>
      <c r="O15" s="378">
        <v>1</v>
      </c>
      <c r="P15" s="379">
        <v>1</v>
      </c>
    </row>
    <row r="16" spans="1:17" s="5" customFormat="1" ht="51" customHeight="1">
      <c r="A16" s="353" t="s">
        <v>389</v>
      </c>
      <c r="B16" s="370">
        <v>45757</v>
      </c>
      <c r="C16" s="353">
        <f t="shared" ca="1" si="2"/>
        <v>328</v>
      </c>
      <c r="D16" s="425">
        <v>167036</v>
      </c>
      <c r="E16" s="353" t="s">
        <v>390</v>
      </c>
      <c r="F16" s="353" t="s">
        <v>391</v>
      </c>
      <c r="G16" s="353" t="s">
        <v>392</v>
      </c>
      <c r="H16" s="355" t="s">
        <v>346</v>
      </c>
      <c r="I16" s="353" t="s">
        <v>393</v>
      </c>
      <c r="J16" s="353" t="s">
        <v>295</v>
      </c>
      <c r="K16" s="353" t="s">
        <v>394</v>
      </c>
      <c r="L16" s="360" t="s">
        <v>395</v>
      </c>
      <c r="M16" s="353">
        <v>2</v>
      </c>
      <c r="N16" s="378">
        <v>1</v>
      </c>
      <c r="O16" s="378">
        <v>1</v>
      </c>
      <c r="P16" s="379">
        <v>1</v>
      </c>
    </row>
    <row r="17" spans="1:48" s="5" customFormat="1" ht="72.599999999999994" customHeight="1">
      <c r="A17" s="353" t="s">
        <v>396</v>
      </c>
      <c r="B17" s="370">
        <v>45733</v>
      </c>
      <c r="C17" s="335">
        <f t="shared" ref="C17" ca="1" si="3">_xlfn.DAYS(TODAY(),B17)</f>
        <v>352</v>
      </c>
      <c r="D17" s="353">
        <v>154897</v>
      </c>
      <c r="E17" s="353" t="s">
        <v>397</v>
      </c>
      <c r="F17" s="353" t="s">
        <v>398</v>
      </c>
      <c r="G17" s="353" t="s">
        <v>399</v>
      </c>
      <c r="H17" s="355" t="s">
        <v>400</v>
      </c>
      <c r="I17" s="353" t="s">
        <v>401</v>
      </c>
      <c r="J17" s="353" t="s">
        <v>296</v>
      </c>
      <c r="K17" s="353" t="s">
        <v>402</v>
      </c>
      <c r="L17" s="360" t="s">
        <v>403</v>
      </c>
      <c r="M17" s="353">
        <v>16</v>
      </c>
      <c r="N17" s="378">
        <v>8</v>
      </c>
      <c r="O17" s="378">
        <v>7</v>
      </c>
      <c r="P17" s="379">
        <v>1</v>
      </c>
    </row>
    <row r="18" spans="1:48" s="5" customFormat="1" ht="90.6" customHeight="1">
      <c r="A18" s="353" t="s">
        <v>404</v>
      </c>
      <c r="B18" s="370">
        <v>45733</v>
      </c>
      <c r="C18" s="335">
        <f t="shared" ca="1" si="0"/>
        <v>352</v>
      </c>
      <c r="D18" s="353">
        <v>140136</v>
      </c>
      <c r="E18" s="353" t="s">
        <v>397</v>
      </c>
      <c r="F18" s="353" t="s">
        <v>398</v>
      </c>
      <c r="G18" s="353" t="s">
        <v>405</v>
      </c>
      <c r="H18" s="355" t="s">
        <v>385</v>
      </c>
      <c r="I18" s="353" t="s">
        <v>401</v>
      </c>
      <c r="J18" s="353" t="s">
        <v>296</v>
      </c>
      <c r="K18" s="353" t="s">
        <v>402</v>
      </c>
      <c r="L18" s="360" t="s">
        <v>406</v>
      </c>
      <c r="M18" s="353">
        <v>5</v>
      </c>
      <c r="N18" s="378">
        <v>22</v>
      </c>
      <c r="O18" s="378">
        <v>21</v>
      </c>
      <c r="P18" s="379">
        <v>1</v>
      </c>
    </row>
    <row r="19" spans="1:48" s="5" customFormat="1" ht="90.6" customHeight="1">
      <c r="A19" s="353" t="s">
        <v>407</v>
      </c>
      <c r="B19" s="370">
        <v>45803</v>
      </c>
      <c r="C19" s="353">
        <f ca="1">_xlfn.DAYS(TODAY(),B19)</f>
        <v>282</v>
      </c>
      <c r="D19" s="353">
        <v>169604</v>
      </c>
      <c r="E19" s="353" t="s">
        <v>397</v>
      </c>
      <c r="F19" s="353" t="s">
        <v>398</v>
      </c>
      <c r="G19" s="353" t="s">
        <v>408</v>
      </c>
      <c r="H19" s="355" t="s">
        <v>385</v>
      </c>
      <c r="I19" s="353" t="s">
        <v>401</v>
      </c>
      <c r="J19" s="353" t="s">
        <v>296</v>
      </c>
      <c r="K19" s="353" t="s">
        <v>402</v>
      </c>
      <c r="L19" s="411" t="s">
        <v>364</v>
      </c>
      <c r="M19" s="353">
        <v>1</v>
      </c>
      <c r="N19" s="378">
        <v>2</v>
      </c>
      <c r="O19" s="378">
        <v>2</v>
      </c>
      <c r="P19" s="379">
        <v>1</v>
      </c>
    </row>
    <row r="20" spans="1:48" s="5" customFormat="1" ht="90.6" customHeight="1">
      <c r="A20" s="353" t="s">
        <v>409</v>
      </c>
      <c r="B20" s="370">
        <v>45817</v>
      </c>
      <c r="C20" s="353">
        <f ca="1">_xlfn.DAYS(TODAY(),B20)</f>
        <v>268</v>
      </c>
      <c r="D20" s="353">
        <v>170522</v>
      </c>
      <c r="E20" s="353" t="s">
        <v>397</v>
      </c>
      <c r="F20" s="353" t="s">
        <v>410</v>
      </c>
      <c r="G20" s="353" t="s">
        <v>411</v>
      </c>
      <c r="H20" s="355" t="s">
        <v>412</v>
      </c>
      <c r="I20" s="353" t="s">
        <v>413</v>
      </c>
      <c r="J20" s="353" t="s">
        <v>296</v>
      </c>
      <c r="K20" s="353" t="s">
        <v>414</v>
      </c>
      <c r="L20" s="411" t="s">
        <v>364</v>
      </c>
      <c r="M20" s="353">
        <v>0</v>
      </c>
      <c r="N20" s="378">
        <v>3</v>
      </c>
      <c r="O20" s="378">
        <v>2</v>
      </c>
      <c r="P20" s="379">
        <v>1</v>
      </c>
    </row>
    <row r="21" spans="1:48" s="5" customFormat="1" ht="90.6" customHeight="1">
      <c r="A21" s="353" t="s">
        <v>316</v>
      </c>
      <c r="B21" s="370">
        <v>45800</v>
      </c>
      <c r="C21" s="353">
        <f ca="1">_xlfn.DAYS(TODAY(),B21)</f>
        <v>285</v>
      </c>
      <c r="D21" s="353">
        <v>169630</v>
      </c>
      <c r="E21" s="353" t="s">
        <v>397</v>
      </c>
      <c r="F21" s="353" t="s">
        <v>398</v>
      </c>
      <c r="G21" s="353" t="s">
        <v>415</v>
      </c>
      <c r="H21" s="355" t="s">
        <v>416</v>
      </c>
      <c r="I21" s="353" t="s">
        <v>417</v>
      </c>
      <c r="J21" s="353" t="s">
        <v>418</v>
      </c>
      <c r="K21" s="353" t="s">
        <v>419</v>
      </c>
      <c r="L21" s="411" t="s">
        <v>420</v>
      </c>
      <c r="M21" s="353">
        <v>0</v>
      </c>
      <c r="N21" s="378">
        <v>1</v>
      </c>
      <c r="O21" s="378">
        <v>0</v>
      </c>
      <c r="P21" s="379">
        <v>1</v>
      </c>
    </row>
    <row r="22" spans="1:48" s="5" customFormat="1" ht="52.9" customHeight="1">
      <c r="A22" s="353" t="s">
        <v>316</v>
      </c>
      <c r="B22" s="370">
        <v>45586</v>
      </c>
      <c r="C22" s="353">
        <f t="shared" ca="1" si="0"/>
        <v>499</v>
      </c>
      <c r="D22" s="353">
        <v>154898</v>
      </c>
      <c r="E22" s="353" t="s">
        <v>397</v>
      </c>
      <c r="F22" s="353" t="s">
        <v>398</v>
      </c>
      <c r="G22" s="353" t="s">
        <v>421</v>
      </c>
      <c r="H22" s="355" t="s">
        <v>346</v>
      </c>
      <c r="I22" s="353" t="s">
        <v>401</v>
      </c>
      <c r="J22" s="353" t="s">
        <v>296</v>
      </c>
      <c r="K22" s="353" t="s">
        <v>422</v>
      </c>
      <c r="L22" s="411" t="s">
        <v>406</v>
      </c>
      <c r="M22" s="353">
        <v>0</v>
      </c>
      <c r="N22" s="378">
        <v>2</v>
      </c>
      <c r="O22" s="378">
        <v>0</v>
      </c>
      <c r="P22" s="379">
        <v>1</v>
      </c>
    </row>
    <row r="23" spans="1:48" s="105" customFormat="1" ht="71.25" customHeight="1">
      <c r="A23" s="353" t="s">
        <v>360</v>
      </c>
      <c r="B23" s="370">
        <v>45755</v>
      </c>
      <c r="C23" s="353">
        <f t="shared" ref="C23:C26" ca="1" si="4">_xlfn.DAYS(TODAY(),B23)</f>
        <v>330</v>
      </c>
      <c r="D23" s="353">
        <v>167206</v>
      </c>
      <c r="E23" s="353" t="s">
        <v>423</v>
      </c>
      <c r="F23" s="353" t="s">
        <v>424</v>
      </c>
      <c r="G23" s="353" t="s">
        <v>425</v>
      </c>
      <c r="H23" s="353" t="s">
        <v>426</v>
      </c>
      <c r="I23" s="353" t="s">
        <v>427</v>
      </c>
      <c r="J23" s="353" t="s">
        <v>428</v>
      </c>
      <c r="K23" s="353" t="s">
        <v>422</v>
      </c>
      <c r="L23" s="411" t="s">
        <v>429</v>
      </c>
      <c r="M23" s="353">
        <v>6</v>
      </c>
      <c r="N23" s="378">
        <v>1</v>
      </c>
      <c r="O23" s="569">
        <v>0</v>
      </c>
      <c r="P23" s="548">
        <v>1</v>
      </c>
      <c r="Q23" s="398"/>
      <c r="R23" s="398"/>
      <c r="S23" s="398"/>
      <c r="T23" s="398"/>
      <c r="U23" s="398"/>
      <c r="V23" s="398"/>
      <c r="W23" s="398"/>
      <c r="X23" s="398"/>
      <c r="Y23" s="398"/>
      <c r="Z23" s="398"/>
      <c r="AA23" s="398"/>
      <c r="AB23" s="398"/>
      <c r="AC23" s="398"/>
      <c r="AD23" s="398"/>
      <c r="AE23" s="398"/>
      <c r="AF23" s="398"/>
      <c r="AG23" s="398"/>
      <c r="AH23" s="398"/>
      <c r="AI23" s="398"/>
      <c r="AJ23" s="398"/>
      <c r="AK23" s="398"/>
    </row>
    <row r="24" spans="1:48" s="105" customFormat="1" ht="71.25" customHeight="1">
      <c r="A24" s="353" t="s">
        <v>430</v>
      </c>
      <c r="B24" s="370">
        <v>45783</v>
      </c>
      <c r="C24" s="353">
        <f ca="1">_xlfn.DAYS(TODAY(),B24)</f>
        <v>302</v>
      </c>
      <c r="D24" s="353">
        <v>168833</v>
      </c>
      <c r="E24" s="353" t="s">
        <v>423</v>
      </c>
      <c r="F24" s="353" t="s">
        <v>424</v>
      </c>
      <c r="G24" s="353" t="s">
        <v>431</v>
      </c>
      <c r="H24" s="353" t="s">
        <v>432</v>
      </c>
      <c r="I24" s="353" t="s">
        <v>433</v>
      </c>
      <c r="J24" s="353" t="s">
        <v>418</v>
      </c>
      <c r="K24" s="353" t="s">
        <v>422</v>
      </c>
      <c r="L24" s="411" t="s">
        <v>406</v>
      </c>
      <c r="M24" s="353">
        <v>1</v>
      </c>
      <c r="N24" s="378">
        <v>1</v>
      </c>
      <c r="O24" s="569">
        <v>0</v>
      </c>
      <c r="P24" s="548">
        <v>1</v>
      </c>
      <c r="Q24" s="398"/>
      <c r="R24" s="398"/>
      <c r="S24" s="398"/>
      <c r="T24" s="398"/>
      <c r="U24" s="398"/>
      <c r="V24" s="398"/>
      <c r="W24" s="398"/>
      <c r="X24" s="398"/>
      <c r="Y24" s="398"/>
      <c r="Z24" s="398"/>
      <c r="AA24" s="398"/>
      <c r="AB24" s="398"/>
      <c r="AC24" s="398"/>
      <c r="AD24" s="398"/>
      <c r="AE24" s="398"/>
      <c r="AF24" s="398"/>
      <c r="AG24" s="398"/>
      <c r="AH24" s="398"/>
      <c r="AI24" s="398"/>
      <c r="AJ24" s="398"/>
      <c r="AK24" s="398"/>
      <c r="AL24" s="398"/>
      <c r="AM24" s="398"/>
      <c r="AN24" s="398"/>
      <c r="AO24" s="398"/>
      <c r="AP24" s="398"/>
      <c r="AQ24" s="398"/>
      <c r="AR24" s="398"/>
      <c r="AS24" s="398"/>
      <c r="AT24" s="398"/>
      <c r="AU24" s="398"/>
      <c r="AV24" s="398"/>
    </row>
    <row r="25" spans="1:48" s="105" customFormat="1" ht="71.25" customHeight="1">
      <c r="A25" s="353" t="s">
        <v>434</v>
      </c>
      <c r="B25" s="370">
        <v>45797</v>
      </c>
      <c r="C25" s="353">
        <f ca="1">_xlfn.DAYS(TODAY(),B25)</f>
        <v>288</v>
      </c>
      <c r="D25" s="353" t="s">
        <v>435</v>
      </c>
      <c r="E25" s="353" t="s">
        <v>423</v>
      </c>
      <c r="F25" s="353" t="s">
        <v>424</v>
      </c>
      <c r="G25" s="353" t="s">
        <v>436</v>
      </c>
      <c r="H25" s="353" t="s">
        <v>432</v>
      </c>
      <c r="I25" s="353" t="s">
        <v>437</v>
      </c>
      <c r="J25" s="353" t="s">
        <v>418</v>
      </c>
      <c r="K25" s="353" t="s">
        <v>438</v>
      </c>
      <c r="L25" s="411" t="s">
        <v>439</v>
      </c>
      <c r="M25" s="353">
        <v>6</v>
      </c>
      <c r="N25" s="378">
        <v>1</v>
      </c>
      <c r="O25" s="569">
        <v>1</v>
      </c>
      <c r="P25" s="548">
        <v>1</v>
      </c>
      <c r="Q25" s="398"/>
      <c r="R25" s="398"/>
      <c r="S25" s="398"/>
      <c r="T25" s="398"/>
      <c r="U25" s="398"/>
      <c r="V25" s="398"/>
      <c r="W25" s="398"/>
      <c r="X25" s="398"/>
      <c r="Y25" s="398"/>
      <c r="Z25" s="398"/>
      <c r="AA25" s="398"/>
      <c r="AB25" s="398"/>
      <c r="AC25" s="398"/>
      <c r="AD25" s="398"/>
      <c r="AE25" s="398"/>
      <c r="AF25" s="398"/>
      <c r="AG25" s="398"/>
      <c r="AH25" s="398"/>
      <c r="AI25" s="398"/>
      <c r="AJ25" s="398"/>
      <c r="AK25" s="398"/>
      <c r="AL25" s="398"/>
      <c r="AM25" s="398"/>
      <c r="AN25" s="398"/>
      <c r="AO25" s="398"/>
      <c r="AP25" s="398"/>
      <c r="AQ25" s="398"/>
      <c r="AR25" s="398"/>
      <c r="AS25" s="398"/>
      <c r="AT25" s="398"/>
      <c r="AU25" s="398"/>
      <c r="AV25" s="398"/>
    </row>
    <row r="26" spans="1:48" s="105" customFormat="1" ht="85.5" customHeight="1">
      <c r="A26" s="353" t="s">
        <v>440</v>
      </c>
      <c r="B26" s="370">
        <v>45796</v>
      </c>
      <c r="C26" s="353">
        <f t="shared" ca="1" si="4"/>
        <v>289</v>
      </c>
      <c r="D26" s="353">
        <v>169251</v>
      </c>
      <c r="E26" s="377" t="s">
        <v>441</v>
      </c>
      <c r="F26" s="353" t="s">
        <v>442</v>
      </c>
      <c r="G26" s="353" t="s">
        <v>443</v>
      </c>
      <c r="H26" s="570" t="s">
        <v>444</v>
      </c>
      <c r="I26" s="353" t="s">
        <v>445</v>
      </c>
      <c r="J26" s="353" t="s">
        <v>446</v>
      </c>
      <c r="K26" s="335" t="s">
        <v>447</v>
      </c>
      <c r="L26" s="360" t="s">
        <v>448</v>
      </c>
      <c r="M26" s="353">
        <v>4</v>
      </c>
      <c r="N26" s="378">
        <v>3</v>
      </c>
      <c r="O26" s="569">
        <v>2</v>
      </c>
      <c r="P26" s="548">
        <v>1</v>
      </c>
      <c r="Q26" s="1"/>
      <c r="R26" s="1"/>
      <c r="S26" s="1"/>
      <c r="T26" s="1"/>
      <c r="U26" s="1"/>
      <c r="V26" s="1"/>
      <c r="W26" s="1"/>
      <c r="X26" s="1"/>
      <c r="Y26" s="1"/>
      <c r="Z26" s="1"/>
      <c r="AA26" s="1"/>
      <c r="AB26" s="1"/>
      <c r="AC26" s="1"/>
      <c r="AD26" s="1"/>
      <c r="AE26" s="1"/>
      <c r="AF26" s="1"/>
      <c r="AG26" s="1"/>
      <c r="AH26" s="1"/>
      <c r="AI26" s="1"/>
      <c r="AJ26" s="1"/>
      <c r="AK26" s="1"/>
    </row>
    <row r="27" spans="1:48" ht="125.45" customHeight="1">
      <c r="A27" s="435" t="s">
        <v>449</v>
      </c>
      <c r="B27" s="436">
        <v>45782</v>
      </c>
      <c r="C27" s="437">
        <f t="shared" ca="1" si="0"/>
        <v>303</v>
      </c>
      <c r="D27" s="351" t="s">
        <v>450</v>
      </c>
      <c r="E27" s="402" t="s">
        <v>451</v>
      </c>
      <c r="F27" s="437" t="s">
        <v>452</v>
      </c>
      <c r="G27" s="438" t="s">
        <v>453</v>
      </c>
      <c r="H27" s="658" t="s">
        <v>454</v>
      </c>
      <c r="I27" s="439" t="s">
        <v>455</v>
      </c>
      <c r="J27" s="435" t="s">
        <v>323</v>
      </c>
      <c r="K27" s="382" t="s">
        <v>456</v>
      </c>
      <c r="L27" s="360" t="s">
        <v>457</v>
      </c>
      <c r="M27" s="333">
        <v>19</v>
      </c>
      <c r="N27" s="334">
        <v>36</v>
      </c>
      <c r="O27" s="334">
        <v>34</v>
      </c>
      <c r="P27" s="364">
        <v>1</v>
      </c>
    </row>
    <row r="28" spans="1:48" s="105" customFormat="1" ht="131.44999999999999" customHeight="1">
      <c r="A28" s="353" t="s">
        <v>316</v>
      </c>
      <c r="B28" s="370">
        <v>45761</v>
      </c>
      <c r="C28" s="353">
        <f ca="1">_xlfn.DAYS(TODAY(),B28)</f>
        <v>324</v>
      </c>
      <c r="D28" s="353" t="s">
        <v>458</v>
      </c>
      <c r="E28" s="351" t="s">
        <v>451</v>
      </c>
      <c r="F28" s="353" t="s">
        <v>459</v>
      </c>
      <c r="G28" s="353" t="s">
        <v>460</v>
      </c>
      <c r="H28" s="353" t="s">
        <v>461</v>
      </c>
      <c r="I28" s="353" t="s">
        <v>462</v>
      </c>
      <c r="J28" s="353" t="s">
        <v>418</v>
      </c>
      <c r="K28" s="353" t="s">
        <v>422</v>
      </c>
      <c r="L28" s="360" t="s">
        <v>463</v>
      </c>
      <c r="M28" s="353">
        <v>30</v>
      </c>
      <c r="N28" s="378">
        <v>8</v>
      </c>
      <c r="O28" s="378">
        <v>7</v>
      </c>
      <c r="P28" s="423">
        <v>2</v>
      </c>
      <c r="Q28" s="398"/>
      <c r="R28" s="398"/>
      <c r="S28" s="398"/>
      <c r="T28" s="398"/>
      <c r="U28" s="398"/>
      <c r="V28" s="398"/>
      <c r="W28" s="398"/>
      <c r="X28" s="398"/>
      <c r="Y28" s="398"/>
      <c r="Z28" s="398"/>
      <c r="AA28" s="398"/>
      <c r="AB28" s="398"/>
      <c r="AC28" s="398"/>
      <c r="AD28" s="398"/>
      <c r="AE28" s="398"/>
      <c r="AF28" s="398"/>
      <c r="AG28" s="398"/>
      <c r="AH28" s="398"/>
      <c r="AI28" s="398"/>
      <c r="AJ28" s="398"/>
      <c r="AK28" s="398"/>
    </row>
    <row r="29" spans="1:48" s="105" customFormat="1" ht="131.44999999999999" customHeight="1">
      <c r="A29" s="353" t="s">
        <v>316</v>
      </c>
      <c r="B29" s="370">
        <v>45775</v>
      </c>
      <c r="C29" s="353">
        <f ca="1">_xlfn.DAYS(TODAY(),B29)</f>
        <v>310</v>
      </c>
      <c r="D29" s="353">
        <v>170015</v>
      </c>
      <c r="E29" s="351" t="s">
        <v>451</v>
      </c>
      <c r="F29" s="353" t="s">
        <v>459</v>
      </c>
      <c r="G29" s="353" t="s">
        <v>464</v>
      </c>
      <c r="H29" s="353" t="s">
        <v>461</v>
      </c>
      <c r="I29" s="353" t="s">
        <v>462</v>
      </c>
      <c r="J29" s="353" t="s">
        <v>418</v>
      </c>
      <c r="K29" s="353" t="s">
        <v>422</v>
      </c>
      <c r="L29" s="360" t="s">
        <v>465</v>
      </c>
      <c r="M29" s="353">
        <v>0</v>
      </c>
      <c r="N29" s="378">
        <v>1</v>
      </c>
      <c r="O29" s="378">
        <v>1</v>
      </c>
      <c r="P29" s="423">
        <v>1</v>
      </c>
      <c r="Q29" s="398"/>
      <c r="R29" s="398"/>
      <c r="S29" s="398"/>
      <c r="T29" s="398"/>
      <c r="U29" s="398"/>
      <c r="V29" s="398"/>
      <c r="W29" s="398"/>
      <c r="X29" s="398"/>
      <c r="Y29" s="398"/>
      <c r="Z29" s="398"/>
      <c r="AA29" s="398"/>
      <c r="AB29" s="398"/>
      <c r="AC29" s="398"/>
      <c r="AD29" s="398"/>
      <c r="AE29" s="398"/>
      <c r="AF29" s="398"/>
      <c r="AG29" s="398"/>
      <c r="AH29" s="398"/>
      <c r="AI29" s="398"/>
      <c r="AJ29" s="398"/>
      <c r="AK29" s="398"/>
      <c r="AL29" s="398"/>
      <c r="AM29" s="398"/>
      <c r="AN29" s="398"/>
      <c r="AO29" s="398"/>
      <c r="AP29" s="398"/>
      <c r="AQ29" s="398"/>
      <c r="AR29" s="398"/>
      <c r="AS29" s="398"/>
      <c r="AT29" s="398"/>
      <c r="AU29" s="398"/>
      <c r="AV29" s="398"/>
    </row>
    <row r="30" spans="1:48" s="105" customFormat="1" ht="15" customHeight="1" thickBot="1">
      <c r="A30" s="106"/>
      <c r="B30" s="868" t="s">
        <v>466</v>
      </c>
      <c r="C30" s="869"/>
      <c r="D30" s="869"/>
      <c r="E30" s="870"/>
      <c r="F30" s="99"/>
      <c r="G30" s="100"/>
      <c r="H30" s="99"/>
      <c r="I30" s="100"/>
      <c r="J30" s="100"/>
      <c r="K30" s="659"/>
      <c r="L30" s="471" t="s">
        <v>467</v>
      </c>
      <c r="M30" s="472"/>
      <c r="N30" s="238">
        <f>SUM(N31:N33)</f>
        <v>4</v>
      </c>
      <c r="O30" s="238">
        <f>SUM(O31:O33)</f>
        <v>4</v>
      </c>
      <c r="P30" s="238">
        <f>SUM(P31:P33)</f>
        <v>3</v>
      </c>
      <c r="Q30" s="398"/>
      <c r="R30" s="398"/>
      <c r="S30" s="398"/>
      <c r="T30" s="398"/>
      <c r="U30" s="398"/>
      <c r="V30" s="398"/>
      <c r="W30" s="398"/>
      <c r="X30" s="398"/>
      <c r="Y30" s="398"/>
      <c r="Z30" s="398"/>
      <c r="AA30" s="398"/>
      <c r="AB30" s="398"/>
      <c r="AC30" s="398"/>
      <c r="AD30" s="398"/>
      <c r="AE30" s="398"/>
      <c r="AF30" s="398"/>
      <c r="AG30" s="398"/>
      <c r="AH30" s="398"/>
      <c r="AI30" s="398"/>
      <c r="AJ30" s="398"/>
      <c r="AK30" s="398"/>
    </row>
    <row r="31" spans="1:48" s="105" customFormat="1" ht="85.5" customHeight="1">
      <c r="A31" s="450" t="s">
        <v>468</v>
      </c>
      <c r="B31" s="417">
        <v>45775</v>
      </c>
      <c r="C31" s="351">
        <f ca="1">_xlfn.DAYS(TODAY(),B31)</f>
        <v>310</v>
      </c>
      <c r="D31" s="353" t="s">
        <v>361</v>
      </c>
      <c r="E31" s="450" t="s">
        <v>469</v>
      </c>
      <c r="F31" s="287" t="s">
        <v>470</v>
      </c>
      <c r="G31" s="353" t="s">
        <v>471</v>
      </c>
      <c r="H31" s="287" t="s">
        <v>472</v>
      </c>
      <c r="I31" s="287" t="s">
        <v>473</v>
      </c>
      <c r="J31" s="451" t="s">
        <v>323</v>
      </c>
      <c r="K31" s="289" t="s">
        <v>474</v>
      </c>
      <c r="L31" s="741" t="s">
        <v>475</v>
      </c>
      <c r="M31" s="287">
        <v>7</v>
      </c>
      <c r="N31" s="592">
        <v>1</v>
      </c>
      <c r="O31" s="592">
        <v>1</v>
      </c>
      <c r="P31" s="593">
        <v>1</v>
      </c>
      <c r="Q31" s="398"/>
      <c r="R31" s="398"/>
      <c r="S31" s="398"/>
      <c r="T31" s="398"/>
      <c r="U31" s="398"/>
      <c r="V31" s="398"/>
      <c r="W31" s="398"/>
      <c r="X31" s="398"/>
      <c r="Y31" s="398"/>
      <c r="Z31" s="398"/>
      <c r="AA31" s="398"/>
      <c r="AB31" s="398"/>
      <c r="AC31" s="398"/>
      <c r="AD31" s="398"/>
      <c r="AE31" s="398"/>
      <c r="AF31" s="398"/>
      <c r="AG31" s="398"/>
      <c r="AH31" s="398"/>
      <c r="AI31" s="398"/>
      <c r="AJ31" s="398"/>
      <c r="AK31" s="398"/>
    </row>
    <row r="32" spans="1:48" ht="82.9" customHeight="1">
      <c r="A32" s="289" t="s">
        <v>476</v>
      </c>
      <c r="B32" s="646">
        <v>45790</v>
      </c>
      <c r="C32" s="351">
        <f ca="1">_xlfn.DAYS(TODAY(),B32)</f>
        <v>295</v>
      </c>
      <c r="D32" s="353">
        <v>170028</v>
      </c>
      <c r="E32" s="365" t="s">
        <v>469</v>
      </c>
      <c r="F32" s="374" t="s">
        <v>477</v>
      </c>
      <c r="G32" s="353" t="s">
        <v>478</v>
      </c>
      <c r="H32" s="359" t="s">
        <v>346</v>
      </c>
      <c r="I32" s="351" t="s">
        <v>473</v>
      </c>
      <c r="J32" s="353" t="s">
        <v>479</v>
      </c>
      <c r="K32" s="287" t="s">
        <v>474</v>
      </c>
      <c r="L32" s="424" t="s">
        <v>480</v>
      </c>
      <c r="M32" s="333"/>
      <c r="N32" s="368">
        <v>3</v>
      </c>
      <c r="O32" s="368">
        <v>2</v>
      </c>
      <c r="P32" s="369">
        <v>1</v>
      </c>
    </row>
    <row r="33" spans="1:37" ht="82.9" customHeight="1" thickBot="1">
      <c r="A33" s="287" t="s">
        <v>269</v>
      </c>
      <c r="B33" s="362">
        <v>45782</v>
      </c>
      <c r="C33" s="351">
        <f t="shared" ref="C33" ca="1" si="5">_xlfn.DAYS(TODAY(),B33)</f>
        <v>303</v>
      </c>
      <c r="D33" s="351" t="s">
        <v>481</v>
      </c>
      <c r="E33" s="365" t="s">
        <v>469</v>
      </c>
      <c r="F33" s="374" t="s">
        <v>477</v>
      </c>
      <c r="G33" s="353" t="s">
        <v>482</v>
      </c>
      <c r="H33" s="359" t="s">
        <v>483</v>
      </c>
      <c r="I33" s="351" t="s">
        <v>484</v>
      </c>
      <c r="J33" s="353" t="s">
        <v>323</v>
      </c>
      <c r="K33" s="351" t="s">
        <v>485</v>
      </c>
      <c r="L33" s="424" t="s">
        <v>486</v>
      </c>
      <c r="M33" s="333">
        <v>5</v>
      </c>
      <c r="N33" s="368">
        <v>0</v>
      </c>
      <c r="O33" s="368">
        <v>1</v>
      </c>
      <c r="P33" s="369">
        <v>1</v>
      </c>
    </row>
    <row r="34" spans="1:37" ht="17.25" customHeight="1" thickBot="1">
      <c r="A34" s="328" t="s">
        <v>487</v>
      </c>
      <c r="B34" s="847" t="s">
        <v>488</v>
      </c>
      <c r="C34" s="848"/>
      <c r="D34" s="848"/>
      <c r="E34" s="849"/>
      <c r="F34" s="329"/>
      <c r="G34" s="330"/>
      <c r="H34" s="329"/>
      <c r="I34" s="330"/>
      <c r="J34" s="330"/>
      <c r="K34" s="329"/>
      <c r="L34" s="413"/>
      <c r="M34" s="403"/>
      <c r="N34" s="414">
        <f>SUM(N35:N42)</f>
        <v>138</v>
      </c>
      <c r="O34" s="414">
        <f>SUM(O35:O42)</f>
        <v>130</v>
      </c>
      <c r="P34" s="415">
        <f>SUM(P35:P42)</f>
        <v>16</v>
      </c>
    </row>
    <row r="35" spans="1:37" ht="73.150000000000006" customHeight="1">
      <c r="A35" s="280" t="s">
        <v>316</v>
      </c>
      <c r="B35" s="281">
        <v>45792</v>
      </c>
      <c r="C35" s="280">
        <f t="shared" ref="C35:C42" ca="1" si="6">_xlfn.DAYS(TODAY(),B35)</f>
        <v>293</v>
      </c>
      <c r="D35" s="284" t="s">
        <v>489</v>
      </c>
      <c r="E35" s="282" t="s">
        <v>441</v>
      </c>
      <c r="F35" s="283" t="s">
        <v>490</v>
      </c>
      <c r="G35" s="280" t="s">
        <v>491</v>
      </c>
      <c r="H35" s="284" t="s">
        <v>492</v>
      </c>
      <c r="I35" s="284" t="s">
        <v>26</v>
      </c>
      <c r="J35" s="280" t="s">
        <v>295</v>
      </c>
      <c r="K35" s="280" t="s">
        <v>493</v>
      </c>
      <c r="L35" s="644" t="s">
        <v>494</v>
      </c>
      <c r="M35" s="280">
        <v>58</v>
      </c>
      <c r="N35" s="393">
        <v>38.5</v>
      </c>
      <c r="O35" s="393">
        <v>37.5</v>
      </c>
      <c r="P35" s="285">
        <v>3</v>
      </c>
    </row>
    <row r="36" spans="1:37" ht="73.150000000000006" customHeight="1">
      <c r="A36" s="280" t="s">
        <v>495</v>
      </c>
      <c r="B36" s="281">
        <v>45758</v>
      </c>
      <c r="C36" s="280">
        <f t="shared" ca="1" si="6"/>
        <v>327</v>
      </c>
      <c r="D36" s="284" t="s">
        <v>496</v>
      </c>
      <c r="E36" s="282" t="s">
        <v>441</v>
      </c>
      <c r="F36" s="283" t="s">
        <v>490</v>
      </c>
      <c r="G36" s="280" t="s">
        <v>497</v>
      </c>
      <c r="H36" s="284" t="s">
        <v>498</v>
      </c>
      <c r="I36" s="284" t="s">
        <v>26</v>
      </c>
      <c r="J36" s="280" t="s">
        <v>295</v>
      </c>
      <c r="K36" s="440" t="s">
        <v>340</v>
      </c>
      <c r="L36" s="559" t="s">
        <v>499</v>
      </c>
      <c r="M36" s="280"/>
      <c r="N36" s="393">
        <v>4.5</v>
      </c>
      <c r="O36" s="560">
        <v>5</v>
      </c>
      <c r="P36" s="285">
        <v>1</v>
      </c>
    </row>
    <row r="37" spans="1:37" s="5" customFormat="1" ht="87" customHeight="1">
      <c r="A37" s="353" t="s">
        <v>500</v>
      </c>
      <c r="B37" s="370">
        <v>45810</v>
      </c>
      <c r="C37" s="333">
        <f t="shared" ca="1" si="6"/>
        <v>275</v>
      </c>
      <c r="D37" s="280" t="s">
        <v>501</v>
      </c>
      <c r="E37" s="353" t="s">
        <v>502</v>
      </c>
      <c r="F37" s="353" t="s">
        <v>503</v>
      </c>
      <c r="G37" s="353" t="s">
        <v>504</v>
      </c>
      <c r="H37" s="353" t="s">
        <v>505</v>
      </c>
      <c r="I37" s="353" t="s">
        <v>506</v>
      </c>
      <c r="J37" s="353" t="s">
        <v>418</v>
      </c>
      <c r="K37" s="351" t="s">
        <v>507</v>
      </c>
      <c r="L37" s="424" t="s">
        <v>508</v>
      </c>
      <c r="M37" s="353">
        <v>35</v>
      </c>
      <c r="N37" s="371">
        <v>28</v>
      </c>
      <c r="O37" s="372">
        <v>27.5</v>
      </c>
      <c r="P37" s="371">
        <v>2</v>
      </c>
    </row>
    <row r="38" spans="1:37" s="5" customFormat="1" ht="87" customHeight="1">
      <c r="A38" s="353" t="s">
        <v>316</v>
      </c>
      <c r="B38" s="370">
        <v>45742</v>
      </c>
      <c r="C38" s="333">
        <f t="shared" ca="1" si="6"/>
        <v>343</v>
      </c>
      <c r="D38" s="440" t="s">
        <v>509</v>
      </c>
      <c r="E38" s="287" t="s">
        <v>451</v>
      </c>
      <c r="F38" s="284" t="s">
        <v>291</v>
      </c>
      <c r="G38" s="353" t="s">
        <v>510</v>
      </c>
      <c r="H38" s="353" t="s">
        <v>511</v>
      </c>
      <c r="I38" s="353" t="s">
        <v>512</v>
      </c>
      <c r="J38" s="353" t="s">
        <v>446</v>
      </c>
      <c r="K38" s="351" t="s">
        <v>513</v>
      </c>
      <c r="L38" s="424" t="s">
        <v>514</v>
      </c>
      <c r="M38" s="353">
        <v>16</v>
      </c>
      <c r="N38" s="371">
        <v>20</v>
      </c>
      <c r="O38" s="371">
        <v>16</v>
      </c>
      <c r="P38" s="373">
        <v>3</v>
      </c>
    </row>
    <row r="39" spans="1:37" s="5" customFormat="1" ht="76.900000000000006" customHeight="1">
      <c r="A39" s="351" t="s">
        <v>316</v>
      </c>
      <c r="B39" s="546">
        <v>45810</v>
      </c>
      <c r="C39" s="335">
        <f ca="1">_xlfn.DAYS(TODAY(),B39)</f>
        <v>275</v>
      </c>
      <c r="D39" s="335" t="s">
        <v>515</v>
      </c>
      <c r="E39" s="377" t="s">
        <v>441</v>
      </c>
      <c r="F39" s="547" t="s">
        <v>490</v>
      </c>
      <c r="G39" s="351" t="s">
        <v>516</v>
      </c>
      <c r="H39" s="351" t="s">
        <v>517</v>
      </c>
      <c r="I39" s="353" t="s">
        <v>26</v>
      </c>
      <c r="J39" s="351" t="s">
        <v>295</v>
      </c>
      <c r="K39" s="351" t="s">
        <v>518</v>
      </c>
      <c r="L39" s="424" t="s">
        <v>519</v>
      </c>
      <c r="M39" s="351">
        <v>9</v>
      </c>
      <c r="N39" s="375">
        <v>12</v>
      </c>
      <c r="O39" s="443">
        <v>10</v>
      </c>
      <c r="P39" s="443">
        <v>2</v>
      </c>
    </row>
    <row r="40" spans="1:37" s="5" customFormat="1" ht="76.900000000000006" customHeight="1">
      <c r="A40" s="386" t="s">
        <v>520</v>
      </c>
      <c r="B40" s="546">
        <v>45799</v>
      </c>
      <c r="C40" s="335">
        <f ca="1">_xlfn.DAYS(TODAY(),B40)</f>
        <v>286</v>
      </c>
      <c r="D40" s="571">
        <v>169572</v>
      </c>
      <c r="E40" s="377" t="s">
        <v>521</v>
      </c>
      <c r="F40" s="495" t="s">
        <v>522</v>
      </c>
      <c r="G40" s="353" t="s">
        <v>523</v>
      </c>
      <c r="H40" s="353" t="s">
        <v>524</v>
      </c>
      <c r="I40" s="353" t="s">
        <v>41</v>
      </c>
      <c r="J40" s="353" t="s">
        <v>323</v>
      </c>
      <c r="K40" s="353" t="s">
        <v>485</v>
      </c>
      <c r="L40" s="639" t="s">
        <v>525</v>
      </c>
      <c r="M40" s="353">
        <v>1</v>
      </c>
      <c r="N40" s="371">
        <v>6</v>
      </c>
      <c r="O40" s="373">
        <v>6</v>
      </c>
      <c r="P40" s="373">
        <v>1</v>
      </c>
    </row>
    <row r="41" spans="1:37" ht="50.45" customHeight="1" thickBot="1">
      <c r="A41" s="533" t="s">
        <v>526</v>
      </c>
      <c r="B41" s="546">
        <v>45777</v>
      </c>
      <c r="C41" s="335">
        <f t="shared" ca="1" si="6"/>
        <v>308</v>
      </c>
      <c r="D41" s="335" t="s">
        <v>527</v>
      </c>
      <c r="E41" s="282" t="s">
        <v>521</v>
      </c>
      <c r="F41" s="450" t="s">
        <v>522</v>
      </c>
      <c r="G41" s="287" t="s">
        <v>528</v>
      </c>
      <c r="H41" s="287" t="s">
        <v>524</v>
      </c>
      <c r="I41" s="287" t="s">
        <v>529</v>
      </c>
      <c r="J41" s="287" t="s">
        <v>323</v>
      </c>
      <c r="K41" s="287" t="s">
        <v>507</v>
      </c>
      <c r="L41" s="534" t="s">
        <v>530</v>
      </c>
      <c r="M41" s="287">
        <v>3</v>
      </c>
      <c r="N41" s="480">
        <v>2</v>
      </c>
      <c r="O41" s="640">
        <v>2</v>
      </c>
      <c r="P41" s="426">
        <v>2</v>
      </c>
      <c r="Q41" s="543"/>
      <c r="R41" s="542"/>
      <c r="S41" s="542"/>
    </row>
    <row r="42" spans="1:37" ht="50.45" customHeight="1" thickBot="1">
      <c r="A42" s="463" t="s">
        <v>531</v>
      </c>
      <c r="B42" s="546">
        <v>45790</v>
      </c>
      <c r="C42" s="335">
        <f t="shared" ca="1" si="6"/>
        <v>295</v>
      </c>
      <c r="D42" s="280" t="s">
        <v>532</v>
      </c>
      <c r="E42" s="377" t="s">
        <v>521</v>
      </c>
      <c r="F42" s="386" t="s">
        <v>522</v>
      </c>
      <c r="G42" s="351" t="s">
        <v>533</v>
      </c>
      <c r="H42" s="351" t="s">
        <v>524</v>
      </c>
      <c r="I42" s="351" t="s">
        <v>41</v>
      </c>
      <c r="J42" s="351" t="s">
        <v>323</v>
      </c>
      <c r="K42" s="351" t="s">
        <v>534</v>
      </c>
      <c r="L42" s="534" t="s">
        <v>535</v>
      </c>
      <c r="M42" s="351">
        <v>1</v>
      </c>
      <c r="N42" s="375">
        <v>27</v>
      </c>
      <c r="O42" s="527">
        <v>26</v>
      </c>
      <c r="P42" s="395">
        <v>2</v>
      </c>
      <c r="Q42" s="543"/>
      <c r="R42" s="542"/>
      <c r="S42" s="542"/>
    </row>
    <row r="43" spans="1:37" ht="21" customHeight="1">
      <c r="A43" s="532" t="s">
        <v>487</v>
      </c>
      <c r="B43" s="865" t="s">
        <v>536</v>
      </c>
      <c r="C43" s="866"/>
      <c r="D43" s="866"/>
      <c r="E43" s="867"/>
      <c r="F43" s="430"/>
      <c r="G43" s="512"/>
      <c r="H43" s="514"/>
      <c r="I43" s="513"/>
      <c r="J43" s="431"/>
      <c r="K43" s="430"/>
      <c r="L43" s="432"/>
      <c r="M43" s="433"/>
      <c r="N43" s="418">
        <f>SUM(N44:N47)</f>
        <v>23</v>
      </c>
      <c r="O43" s="418">
        <f>SUM(O44:O47)</f>
        <v>20</v>
      </c>
      <c r="P43" s="526">
        <f>SUM(P44:P47)</f>
        <v>4</v>
      </c>
      <c r="Q43" s="542"/>
      <c r="R43" s="542"/>
      <c r="S43" s="542"/>
    </row>
    <row r="44" spans="1:37" ht="70.150000000000006" customHeight="1">
      <c r="A44" s="386" t="s">
        <v>537</v>
      </c>
      <c r="B44" s="370">
        <v>45800</v>
      </c>
      <c r="C44" s="353">
        <f ca="1">_xlfn.DAYS(TODAY(),B44)</f>
        <v>285</v>
      </c>
      <c r="D44" s="353">
        <v>169530</v>
      </c>
      <c r="E44" s="377" t="s">
        <v>441</v>
      </c>
      <c r="F44" s="353" t="s">
        <v>490</v>
      </c>
      <c r="G44" s="351" t="s">
        <v>538</v>
      </c>
      <c r="H44" s="351" t="s">
        <v>539</v>
      </c>
      <c r="I44" s="351" t="s">
        <v>26</v>
      </c>
      <c r="J44" s="351" t="s">
        <v>295</v>
      </c>
      <c r="K44" s="351" t="s">
        <v>540</v>
      </c>
      <c r="L44" s="632" t="s">
        <v>541</v>
      </c>
      <c r="M44" s="351">
        <v>2</v>
      </c>
      <c r="N44" s="375">
        <v>5</v>
      </c>
      <c r="O44" s="375">
        <v>5</v>
      </c>
      <c r="P44" s="375">
        <v>1</v>
      </c>
      <c r="Q44" s="542"/>
      <c r="R44" s="542"/>
      <c r="S44" s="542"/>
    </row>
    <row r="45" spans="1:37" s="5" customFormat="1" ht="70.150000000000006" customHeight="1">
      <c r="A45" s="353" t="s">
        <v>542</v>
      </c>
      <c r="B45" s="370">
        <v>45813</v>
      </c>
      <c r="C45" s="353">
        <f ca="1">_xlfn.DAYS(TODAY(),B45)</f>
        <v>272</v>
      </c>
      <c r="D45" s="353">
        <v>170509</v>
      </c>
      <c r="E45" s="353" t="s">
        <v>502</v>
      </c>
      <c r="F45" s="353" t="s">
        <v>503</v>
      </c>
      <c r="G45" s="353" t="s">
        <v>543</v>
      </c>
      <c r="H45" s="353" t="s">
        <v>505</v>
      </c>
      <c r="I45" s="353" t="s">
        <v>506</v>
      </c>
      <c r="J45" s="353" t="s">
        <v>418</v>
      </c>
      <c r="K45" s="351" t="s">
        <v>507</v>
      </c>
      <c r="L45" s="424" t="s">
        <v>364</v>
      </c>
      <c r="M45" s="353">
        <v>0</v>
      </c>
      <c r="N45" s="371">
        <v>5</v>
      </c>
      <c r="O45" s="670">
        <v>4</v>
      </c>
      <c r="P45" s="371">
        <v>1</v>
      </c>
    </row>
    <row r="46" spans="1:37" ht="87" customHeight="1">
      <c r="A46" s="353" t="s">
        <v>544</v>
      </c>
      <c r="B46" s="370">
        <v>45777</v>
      </c>
      <c r="C46" s="353">
        <f ca="1">_xlfn.DAYS(TODAY(),B46)</f>
        <v>308</v>
      </c>
      <c r="D46" s="353">
        <v>168450</v>
      </c>
      <c r="E46" s="377" t="s">
        <v>521</v>
      </c>
      <c r="F46" s="353" t="s">
        <v>522</v>
      </c>
      <c r="G46" s="353" t="s">
        <v>545</v>
      </c>
      <c r="H46" s="353" t="s">
        <v>524</v>
      </c>
      <c r="I46" s="353" t="s">
        <v>41</v>
      </c>
      <c r="J46" s="353" t="s">
        <v>323</v>
      </c>
      <c r="K46" s="353" t="s">
        <v>540</v>
      </c>
      <c r="L46" s="742" t="s">
        <v>546</v>
      </c>
      <c r="M46" s="353">
        <v>4</v>
      </c>
      <c r="N46" s="371">
        <v>8</v>
      </c>
      <c r="O46" s="371">
        <v>7</v>
      </c>
      <c r="P46" s="371">
        <v>1</v>
      </c>
      <c r="Q46" s="542"/>
      <c r="R46" s="542"/>
      <c r="S46" s="542"/>
    </row>
    <row r="47" spans="1:37" ht="88.5" customHeight="1" thickBot="1">
      <c r="A47" s="633" t="s">
        <v>547</v>
      </c>
      <c r="B47" s="634">
        <v>45770</v>
      </c>
      <c r="C47" s="478">
        <f t="shared" ref="C47" ca="1" si="7">_xlfn.DAYS(TODAY(),B47)</f>
        <v>315</v>
      </c>
      <c r="D47" s="478">
        <v>166297</v>
      </c>
      <c r="E47" s="589" t="s">
        <v>451</v>
      </c>
      <c r="F47" s="562" t="s">
        <v>291</v>
      </c>
      <c r="G47" s="478" t="s">
        <v>548</v>
      </c>
      <c r="H47" s="478" t="s">
        <v>549</v>
      </c>
      <c r="I47" s="478" t="s">
        <v>62</v>
      </c>
      <c r="J47" s="429" t="s">
        <v>330</v>
      </c>
      <c r="K47" s="284" t="s">
        <v>540</v>
      </c>
      <c r="L47" s="743" t="s">
        <v>550</v>
      </c>
      <c r="M47" s="478">
        <v>15</v>
      </c>
      <c r="N47" s="426">
        <v>5</v>
      </c>
      <c r="O47" s="426">
        <v>4</v>
      </c>
      <c r="P47" s="426">
        <v>1</v>
      </c>
      <c r="Q47" s="5"/>
      <c r="R47" s="5"/>
      <c r="S47" s="5"/>
      <c r="T47" s="5"/>
      <c r="U47" s="5"/>
      <c r="V47" s="5"/>
      <c r="W47" s="5"/>
      <c r="X47" s="5"/>
      <c r="Y47" s="5"/>
      <c r="Z47" s="5"/>
      <c r="AA47" s="5"/>
      <c r="AB47" s="5"/>
      <c r="AC47" s="5"/>
      <c r="AD47" s="5"/>
      <c r="AE47" s="5"/>
      <c r="AF47" s="5"/>
      <c r="AG47" s="5"/>
      <c r="AH47" s="5"/>
      <c r="AI47" s="5"/>
      <c r="AJ47" s="5"/>
      <c r="AK47" s="5"/>
    </row>
    <row r="48" spans="1:37" ht="21" customHeight="1">
      <c r="A48" s="532" t="s">
        <v>487</v>
      </c>
      <c r="B48" s="865" t="s">
        <v>551</v>
      </c>
      <c r="C48" s="866"/>
      <c r="D48" s="866"/>
      <c r="E48" s="867"/>
      <c r="F48" s="430"/>
      <c r="G48" s="512"/>
      <c r="H48" s="430"/>
      <c r="I48" s="513"/>
      <c r="J48" s="431"/>
      <c r="K48" s="430"/>
      <c r="L48" s="432"/>
      <c r="M48" s="433"/>
      <c r="N48" s="418">
        <v>0</v>
      </c>
      <c r="O48" s="418">
        <v>0</v>
      </c>
      <c r="P48" s="526">
        <f>SUM(P49)</f>
        <v>1</v>
      </c>
      <c r="Q48" s="542"/>
      <c r="R48" s="542"/>
      <c r="S48" s="542"/>
    </row>
    <row r="49" spans="1:19" ht="54" customHeight="1" thickBot="1">
      <c r="A49" s="463" t="s">
        <v>552</v>
      </c>
      <c r="B49" s="641">
        <v>45790</v>
      </c>
      <c r="C49" s="353">
        <f ca="1">_xlfn.DAYS(TODAY(),B49)</f>
        <v>295</v>
      </c>
      <c r="D49" s="610">
        <v>169571</v>
      </c>
      <c r="E49" s="377" t="s">
        <v>521</v>
      </c>
      <c r="F49" s="386" t="s">
        <v>522</v>
      </c>
      <c r="G49" s="351" t="s">
        <v>553</v>
      </c>
      <c r="H49" s="351" t="s">
        <v>524</v>
      </c>
      <c r="I49" s="351" t="s">
        <v>41</v>
      </c>
      <c r="J49" s="422" t="s">
        <v>323</v>
      </c>
      <c r="K49" s="353" t="s">
        <v>534</v>
      </c>
      <c r="L49" s="654" t="s">
        <v>554</v>
      </c>
      <c r="M49" s="642"/>
      <c r="N49" s="643">
        <v>2</v>
      </c>
      <c r="O49" s="643">
        <v>1</v>
      </c>
      <c r="P49" s="643">
        <v>1</v>
      </c>
      <c r="Q49" s="542"/>
      <c r="R49" s="542"/>
      <c r="S49" s="542"/>
    </row>
    <row r="50" spans="1:19" ht="16.149999999999999" customHeight="1" thickBot="1">
      <c r="A50" s="898" t="s">
        <v>555</v>
      </c>
      <c r="B50" s="899"/>
      <c r="C50" s="899"/>
      <c r="D50" s="899"/>
      <c r="E50" s="899"/>
      <c r="F50" s="899"/>
      <c r="G50" s="899"/>
      <c r="H50" s="899"/>
      <c r="I50" s="899"/>
      <c r="J50" s="899"/>
      <c r="K50" s="899"/>
      <c r="L50" s="899"/>
      <c r="M50" s="900"/>
      <c r="N50" s="270" t="e">
        <f>N51+N56+N58+N60+N66+N71+N72+N76+N81+N86+N88+N92+N97+N101+N103+N104+N105+N107+N110+N113</f>
        <v>#REF!</v>
      </c>
      <c r="O50" s="270" t="e">
        <f>O51+O56+O58+O60+O66+O71+O72+O76+O81+O86+O88+O92+O97+O101+O103+O104+O105+O107+O110+O113</f>
        <v>#REF!</v>
      </c>
      <c r="P50" s="271">
        <f>P51+P56+P58+P60+P66+P71+P72+P76+P81+P86+P88+P92+P97+P101+P103+P104+P105+P107+P110+P113</f>
        <v>58</v>
      </c>
    </row>
    <row r="51" spans="1:19" s="27" customFormat="1" ht="16.149999999999999" customHeight="1">
      <c r="A51" s="518" t="s">
        <v>556</v>
      </c>
      <c r="B51" s="889" t="s">
        <v>25</v>
      </c>
      <c r="C51" s="890"/>
      <c r="D51" s="890"/>
      <c r="E51" s="891"/>
      <c r="F51" s="405"/>
      <c r="G51" s="405"/>
      <c r="H51" s="405"/>
      <c r="I51" s="519"/>
      <c r="J51" s="519"/>
      <c r="K51" s="405"/>
      <c r="L51" s="521"/>
      <c r="M51" s="516"/>
      <c r="N51" s="517">
        <f>SUM(N52:N55)</f>
        <v>11.25</v>
      </c>
      <c r="O51" s="517">
        <f>SUM(O52:O55)</f>
        <v>10</v>
      </c>
      <c r="P51" s="517">
        <f>SUM(P52:P55)</f>
        <v>4</v>
      </c>
    </row>
    <row r="52" spans="1:19" s="5" customFormat="1" ht="75" customHeight="1">
      <c r="A52" s="353" t="s">
        <v>557</v>
      </c>
      <c r="B52" s="370">
        <v>45797</v>
      </c>
      <c r="C52" s="391">
        <f ca="1">_xlfn.DAYS(TODAY(),B52)</f>
        <v>288</v>
      </c>
      <c r="D52" s="353">
        <v>166984</v>
      </c>
      <c r="E52" s="353" t="s">
        <v>441</v>
      </c>
      <c r="F52" s="353" t="s">
        <v>558</v>
      </c>
      <c r="G52" s="571" t="s">
        <v>559</v>
      </c>
      <c r="H52" s="353" t="s">
        <v>560</v>
      </c>
      <c r="I52" s="353" t="s">
        <v>561</v>
      </c>
      <c r="J52" s="353" t="s">
        <v>446</v>
      </c>
      <c r="K52" s="353" t="s">
        <v>562</v>
      </c>
      <c r="L52" s="447" t="s">
        <v>563</v>
      </c>
      <c r="M52" s="353">
        <v>15</v>
      </c>
      <c r="N52" s="371">
        <v>3</v>
      </c>
      <c r="O52" s="373">
        <v>2</v>
      </c>
      <c r="P52" s="371">
        <v>1</v>
      </c>
    </row>
    <row r="53" spans="1:19" s="5" customFormat="1" ht="142.5" customHeight="1">
      <c r="A53" s="353" t="s">
        <v>564</v>
      </c>
      <c r="B53" s="370">
        <v>45782</v>
      </c>
      <c r="C53" s="391">
        <f ca="1">_xlfn.DAYS(TODAY(),B53)</f>
        <v>303</v>
      </c>
      <c r="D53" s="353" t="s">
        <v>565</v>
      </c>
      <c r="E53" s="353" t="s">
        <v>502</v>
      </c>
      <c r="F53" s="353" t="s">
        <v>503</v>
      </c>
      <c r="G53" s="353" t="s">
        <v>566</v>
      </c>
      <c r="H53" s="353" t="s">
        <v>567</v>
      </c>
      <c r="I53" s="353" t="s">
        <v>568</v>
      </c>
      <c r="J53" s="353" t="s">
        <v>446</v>
      </c>
      <c r="K53" s="353" t="s">
        <v>456</v>
      </c>
      <c r="L53" s="447" t="s">
        <v>569</v>
      </c>
      <c r="M53" s="353">
        <v>59</v>
      </c>
      <c r="N53" s="371">
        <v>6</v>
      </c>
      <c r="O53" s="373">
        <v>6</v>
      </c>
      <c r="P53" s="371">
        <v>1</v>
      </c>
    </row>
    <row r="54" spans="1:19" s="5" customFormat="1" ht="57.75" customHeight="1">
      <c r="A54" s="353" t="s">
        <v>570</v>
      </c>
      <c r="B54" s="370">
        <v>45811</v>
      </c>
      <c r="C54" s="391">
        <f ca="1">_xlfn.DAYS(TODAY(),B54)</f>
        <v>274</v>
      </c>
      <c r="D54" s="353">
        <v>170693</v>
      </c>
      <c r="E54" s="353" t="s">
        <v>451</v>
      </c>
      <c r="F54" s="353" t="s">
        <v>291</v>
      </c>
      <c r="G54" s="571" t="s">
        <v>571</v>
      </c>
      <c r="H54" s="353" t="s">
        <v>511</v>
      </c>
      <c r="I54" s="353" t="s">
        <v>55</v>
      </c>
      <c r="J54" s="353" t="s">
        <v>353</v>
      </c>
      <c r="K54" s="353" t="s">
        <v>540</v>
      </c>
      <c r="L54" s="360" t="s">
        <v>572</v>
      </c>
      <c r="M54" s="353">
        <v>0</v>
      </c>
      <c r="N54" s="371">
        <v>2</v>
      </c>
      <c r="O54" s="371">
        <v>2</v>
      </c>
      <c r="P54" s="371">
        <v>1</v>
      </c>
    </row>
    <row r="55" spans="1:19" s="5" customFormat="1" ht="76.5" customHeight="1">
      <c r="A55" s="353" t="s">
        <v>573</v>
      </c>
      <c r="B55" s="370">
        <v>45797</v>
      </c>
      <c r="C55" s="391">
        <f ca="1">_xlfn.DAYS(TODAY(),B55)</f>
        <v>288</v>
      </c>
      <c r="D55" s="353" t="s">
        <v>574</v>
      </c>
      <c r="E55" s="353" t="s">
        <v>521</v>
      </c>
      <c r="F55" s="353" t="s">
        <v>575</v>
      </c>
      <c r="G55" s="571" t="s">
        <v>576</v>
      </c>
      <c r="H55" s="353" t="s">
        <v>577</v>
      </c>
      <c r="I55" s="353" t="s">
        <v>14</v>
      </c>
      <c r="J55" s="353" t="s">
        <v>353</v>
      </c>
      <c r="K55" s="353" t="s">
        <v>578</v>
      </c>
      <c r="L55" s="360" t="s">
        <v>579</v>
      </c>
      <c r="M55" s="353">
        <v>15</v>
      </c>
      <c r="N55" s="371">
        <v>0.25</v>
      </c>
      <c r="O55" s="373" t="s">
        <v>580</v>
      </c>
      <c r="P55" s="371">
        <v>1</v>
      </c>
    </row>
    <row r="56" spans="1:19" s="105" customFormat="1" ht="17.25" customHeight="1" thickBot="1">
      <c r="A56" s="106" t="s">
        <v>556</v>
      </c>
      <c r="B56" s="895" t="s">
        <v>42</v>
      </c>
      <c r="C56" s="896"/>
      <c r="D56" s="896"/>
      <c r="E56" s="897"/>
      <c r="F56" s="99"/>
      <c r="G56" s="99"/>
      <c r="H56" s="99"/>
      <c r="I56" s="100"/>
      <c r="J56" s="100"/>
      <c r="K56" s="99"/>
      <c r="L56" s="101"/>
      <c r="M56" s="277"/>
      <c r="N56" s="238">
        <f>SUM(N57)</f>
        <v>6</v>
      </c>
      <c r="O56" s="238">
        <f>SUM(O57)</f>
        <v>5</v>
      </c>
      <c r="P56" s="238">
        <f>SUM(P57)</f>
        <v>1</v>
      </c>
    </row>
    <row r="57" spans="1:19" s="5" customFormat="1" ht="99" customHeight="1" thickBot="1">
      <c r="A57" s="289" t="s">
        <v>581</v>
      </c>
      <c r="B57" s="394">
        <v>45804</v>
      </c>
      <c r="C57" s="289">
        <f ca="1">_xlfn.DAYS(TODAY(),B57)</f>
        <v>281</v>
      </c>
      <c r="D57" s="428">
        <v>169864</v>
      </c>
      <c r="E57" s="406" t="s">
        <v>521</v>
      </c>
      <c r="F57" s="396" t="s">
        <v>582</v>
      </c>
      <c r="G57" s="406" t="s">
        <v>583</v>
      </c>
      <c r="H57" s="407" t="s">
        <v>584</v>
      </c>
      <c r="I57" s="406" t="s">
        <v>64</v>
      </c>
      <c r="J57" s="406" t="s">
        <v>446</v>
      </c>
      <c r="K57" s="406" t="s">
        <v>585</v>
      </c>
      <c r="L57" s="588" t="s">
        <v>586</v>
      </c>
      <c r="M57" s="429">
        <v>1</v>
      </c>
      <c r="N57" s="420">
        <v>6</v>
      </c>
      <c r="O57" s="420">
        <v>5</v>
      </c>
      <c r="P57" s="421">
        <v>1</v>
      </c>
    </row>
    <row r="58" spans="1:19" s="398" customFormat="1" ht="17.25" customHeight="1" thickBot="1">
      <c r="A58" s="381" t="s">
        <v>556</v>
      </c>
      <c r="B58" s="892" t="s">
        <v>69</v>
      </c>
      <c r="C58" s="893"/>
      <c r="D58" s="893"/>
      <c r="E58" s="894"/>
      <c r="F58" s="288"/>
      <c r="G58" s="288"/>
      <c r="H58" s="288"/>
      <c r="I58" s="275"/>
      <c r="J58" s="275"/>
      <c r="K58" s="288"/>
      <c r="L58" s="276"/>
      <c r="M58" s="399"/>
      <c r="N58" s="380">
        <f>SUM(N59:N59)</f>
        <v>2</v>
      </c>
      <c r="O58" s="380">
        <f>SUM(O59:O59)</f>
        <v>1</v>
      </c>
      <c r="P58" s="380">
        <f>SUM(P59:P59)</f>
        <v>1</v>
      </c>
    </row>
    <row r="59" spans="1:19" s="27" customFormat="1" ht="76.150000000000006" customHeight="1" thickBot="1">
      <c r="A59" s="273" t="s">
        <v>316</v>
      </c>
      <c r="B59" s="408">
        <v>45733</v>
      </c>
      <c r="C59" s="289">
        <f ca="1">_xlfn.DAYS(TODAY(),B59)</f>
        <v>352</v>
      </c>
      <c r="D59" s="410" t="s">
        <v>481</v>
      </c>
      <c r="E59" s="452" t="s">
        <v>441</v>
      </c>
      <c r="F59" s="396" t="s">
        <v>490</v>
      </c>
      <c r="G59" s="463" t="s">
        <v>587</v>
      </c>
      <c r="H59" s="407" t="s">
        <v>588</v>
      </c>
      <c r="I59" s="406" t="s">
        <v>561</v>
      </c>
      <c r="J59" s="406" t="s">
        <v>446</v>
      </c>
      <c r="K59" s="406" t="s">
        <v>589</v>
      </c>
      <c r="L59" s="475" t="s">
        <v>590</v>
      </c>
      <c r="M59" s="419">
        <v>11</v>
      </c>
      <c r="N59" s="426">
        <v>2</v>
      </c>
      <c r="O59" s="426">
        <v>1</v>
      </c>
      <c r="P59" s="427">
        <v>1</v>
      </c>
    </row>
    <row r="60" spans="1:19" s="105" customFormat="1" ht="16.149999999999999" customHeight="1" thickBot="1">
      <c r="A60" s="98" t="s">
        <v>556</v>
      </c>
      <c r="B60" s="844" t="s">
        <v>75</v>
      </c>
      <c r="C60" s="845"/>
      <c r="D60" s="845"/>
      <c r="E60" s="846"/>
      <c r="F60" s="178"/>
      <c r="G60" s="178"/>
      <c r="H60" s="178"/>
      <c r="I60" s="179"/>
      <c r="J60" s="182"/>
      <c r="K60" s="178"/>
      <c r="L60" s="181"/>
      <c r="M60" s="180"/>
      <c r="N60" s="236">
        <f>SUM(N61:N64)</f>
        <v>22</v>
      </c>
      <c r="O60" s="236">
        <f>SUM(O61:O64)</f>
        <v>17</v>
      </c>
      <c r="P60" s="236">
        <f>SUM(P61:P65)</f>
        <v>9</v>
      </c>
    </row>
    <row r="61" spans="1:19" s="5" customFormat="1" ht="67.5" customHeight="1">
      <c r="A61" s="289" t="s">
        <v>591</v>
      </c>
      <c r="B61" s="401">
        <v>45796</v>
      </c>
      <c r="C61" s="289">
        <f t="shared" ref="C61:C65" ca="1" si="8">_xlfn.DAYS(TODAY(),B61)</f>
        <v>289</v>
      </c>
      <c r="D61" s="428">
        <v>169005</v>
      </c>
      <c r="E61" s="406" t="s">
        <v>441</v>
      </c>
      <c r="F61" s="396" t="s">
        <v>490</v>
      </c>
      <c r="G61" s="406" t="s">
        <v>592</v>
      </c>
      <c r="H61" s="407" t="s">
        <v>511</v>
      </c>
      <c r="I61" s="406" t="s">
        <v>48</v>
      </c>
      <c r="J61" s="406" t="s">
        <v>446</v>
      </c>
      <c r="K61" s="406" t="s">
        <v>593</v>
      </c>
      <c r="L61" s="409" t="s">
        <v>594</v>
      </c>
      <c r="M61" s="429">
        <v>21</v>
      </c>
      <c r="N61" s="420">
        <v>8</v>
      </c>
      <c r="O61" s="420">
        <v>7</v>
      </c>
      <c r="P61" s="421">
        <v>1</v>
      </c>
    </row>
    <row r="62" spans="1:19" s="27" customFormat="1" ht="105.75" customHeight="1">
      <c r="A62" s="525" t="s">
        <v>595</v>
      </c>
      <c r="B62" s="408">
        <v>45782</v>
      </c>
      <c r="C62" s="391">
        <f ca="1">_xlfn.DAYS(TODAY(),B62)</f>
        <v>303</v>
      </c>
      <c r="D62" s="511" t="s">
        <v>596</v>
      </c>
      <c r="E62" s="353" t="s">
        <v>502</v>
      </c>
      <c r="F62" s="353" t="s">
        <v>503</v>
      </c>
      <c r="G62" s="522" t="s">
        <v>597</v>
      </c>
      <c r="H62" s="353" t="s">
        <v>598</v>
      </c>
      <c r="I62" s="353" t="s">
        <v>568</v>
      </c>
      <c r="J62" s="353" t="s">
        <v>446</v>
      </c>
      <c r="K62" s="353" t="s">
        <v>540</v>
      </c>
      <c r="L62" s="475" t="s">
        <v>599</v>
      </c>
      <c r="M62" s="419">
        <v>21</v>
      </c>
      <c r="N62" s="426">
        <v>8</v>
      </c>
      <c r="O62" s="426">
        <v>5</v>
      </c>
      <c r="P62" s="427">
        <v>3</v>
      </c>
    </row>
    <row r="63" spans="1:19" s="5" customFormat="1" ht="50.25" customHeight="1">
      <c r="A63" s="386" t="s">
        <v>316</v>
      </c>
      <c r="B63" s="401">
        <v>45670</v>
      </c>
      <c r="C63" s="392">
        <f t="shared" ca="1" si="8"/>
        <v>415</v>
      </c>
      <c r="D63" s="392">
        <v>162238</v>
      </c>
      <c r="E63" s="402" t="s">
        <v>451</v>
      </c>
      <c r="F63" s="666" t="s">
        <v>291</v>
      </c>
      <c r="G63" s="392" t="s">
        <v>600</v>
      </c>
      <c r="H63" s="392" t="s">
        <v>601</v>
      </c>
      <c r="I63" s="392" t="s">
        <v>62</v>
      </c>
      <c r="J63" s="392" t="s">
        <v>330</v>
      </c>
      <c r="K63" s="453" t="s">
        <v>602</v>
      </c>
      <c r="L63" s="744" t="s">
        <v>603</v>
      </c>
      <c r="M63" s="392">
        <v>87</v>
      </c>
      <c r="N63" s="397">
        <v>6</v>
      </c>
      <c r="O63" s="397">
        <v>5</v>
      </c>
      <c r="P63" s="397">
        <v>1</v>
      </c>
    </row>
    <row r="64" spans="1:19" ht="50.45" customHeight="1">
      <c r="A64" s="273" t="s">
        <v>269</v>
      </c>
      <c r="B64" s="408">
        <v>45691</v>
      </c>
      <c r="C64" s="289">
        <f t="shared" ca="1" si="8"/>
        <v>394</v>
      </c>
      <c r="D64" s="273" t="s">
        <v>604</v>
      </c>
      <c r="E64" s="274" t="s">
        <v>451</v>
      </c>
      <c r="F64" s="669" t="s">
        <v>291</v>
      </c>
      <c r="G64" s="289" t="s">
        <v>605</v>
      </c>
      <c r="H64" s="289" t="s">
        <v>606</v>
      </c>
      <c r="I64" s="289" t="s">
        <v>62</v>
      </c>
      <c r="J64" s="273" t="s">
        <v>330</v>
      </c>
      <c r="K64" s="289" t="s">
        <v>607</v>
      </c>
      <c r="L64" s="664" t="s">
        <v>608</v>
      </c>
      <c r="M64" s="273">
        <v>15</v>
      </c>
      <c r="N64" s="668">
        <v>0</v>
      </c>
      <c r="O64" s="665">
        <v>0</v>
      </c>
      <c r="P64" s="667">
        <v>2</v>
      </c>
    </row>
    <row r="65" spans="1:16" ht="70.5" customHeight="1" thickBot="1">
      <c r="A65" s="442" t="s">
        <v>609</v>
      </c>
      <c r="B65" s="441">
        <v>45799</v>
      </c>
      <c r="C65" s="287">
        <f t="shared" ca="1" si="8"/>
        <v>286</v>
      </c>
      <c r="D65" s="619" t="s">
        <v>610</v>
      </c>
      <c r="E65" s="620" t="s">
        <v>521</v>
      </c>
      <c r="F65" s="562" t="s">
        <v>522</v>
      </c>
      <c r="G65" s="558" t="s">
        <v>611</v>
      </c>
      <c r="H65" s="287" t="s">
        <v>612</v>
      </c>
      <c r="I65" s="287" t="s">
        <v>613</v>
      </c>
      <c r="J65" s="440" t="s">
        <v>446</v>
      </c>
      <c r="K65" s="287" t="s">
        <v>607</v>
      </c>
      <c r="L65" s="523" t="s">
        <v>614</v>
      </c>
      <c r="M65" s="440">
        <v>14</v>
      </c>
      <c r="N65" s="473">
        <v>11</v>
      </c>
      <c r="O65" s="473">
        <v>11</v>
      </c>
      <c r="P65" s="474">
        <v>2</v>
      </c>
    </row>
    <row r="66" spans="1:16" s="105" customFormat="1" ht="17.25" customHeight="1" thickBot="1">
      <c r="A66" s="564" t="s">
        <v>556</v>
      </c>
      <c r="B66" s="853" t="s">
        <v>615</v>
      </c>
      <c r="C66" s="854"/>
      <c r="D66" s="854"/>
      <c r="E66" s="855"/>
      <c r="F66" s="329"/>
      <c r="G66" s="329"/>
      <c r="H66" s="329"/>
      <c r="I66" s="330"/>
      <c r="J66" s="330"/>
      <c r="K66" s="329"/>
      <c r="L66" s="573"/>
      <c r="M66" s="574"/>
      <c r="N66" s="575">
        <f>SUM(N67:N69)</f>
        <v>19</v>
      </c>
      <c r="O66" s="575">
        <f>SUM(O67:O69)</f>
        <v>16</v>
      </c>
      <c r="P66" s="561">
        <f>SUM(P67:P69)</f>
        <v>5</v>
      </c>
    </row>
    <row r="67" spans="1:16" s="5" customFormat="1" ht="69.75" customHeight="1">
      <c r="A67" s="353" t="s">
        <v>552</v>
      </c>
      <c r="B67" s="370">
        <v>45693</v>
      </c>
      <c r="C67" s="391">
        <f t="shared" ref="C67:C69" ca="1" si="9">_xlfn.DAYS(TODAY(),B67)</f>
        <v>392</v>
      </c>
      <c r="D67" s="563">
        <v>163604</v>
      </c>
      <c r="E67" s="284" t="s">
        <v>502</v>
      </c>
      <c r="F67" s="284" t="s">
        <v>503</v>
      </c>
      <c r="G67" s="284" t="s">
        <v>616</v>
      </c>
      <c r="H67" s="284" t="s">
        <v>617</v>
      </c>
      <c r="I67" s="284" t="s">
        <v>568</v>
      </c>
      <c r="J67" s="284" t="s">
        <v>446</v>
      </c>
      <c r="K67" s="506" t="s">
        <v>456</v>
      </c>
      <c r="L67" s="447" t="s">
        <v>618</v>
      </c>
      <c r="M67" s="353">
        <v>21</v>
      </c>
      <c r="N67" s="371">
        <v>5</v>
      </c>
      <c r="O67" s="373">
        <v>4</v>
      </c>
      <c r="P67" s="371">
        <v>1</v>
      </c>
    </row>
    <row r="68" spans="1:16" s="5" customFormat="1" ht="69.75" customHeight="1">
      <c r="A68" s="351" t="s">
        <v>619</v>
      </c>
      <c r="B68" s="352">
        <v>45804</v>
      </c>
      <c r="C68" s="391">
        <f ca="1">_xlfn.DAYS(TODAY(),B68)</f>
        <v>281</v>
      </c>
      <c r="D68" s="450">
        <v>169818</v>
      </c>
      <c r="E68" s="451" t="s">
        <v>441</v>
      </c>
      <c r="F68" s="284" t="s">
        <v>490</v>
      </c>
      <c r="G68" s="450" t="s">
        <v>620</v>
      </c>
      <c r="H68" s="451" t="s">
        <v>511</v>
      </c>
      <c r="I68" s="284" t="s">
        <v>561</v>
      </c>
      <c r="J68" s="284" t="s">
        <v>446</v>
      </c>
      <c r="K68" s="571" t="s">
        <v>621</v>
      </c>
      <c r="L68" s="360" t="s">
        <v>622</v>
      </c>
      <c r="M68" s="353">
        <v>18</v>
      </c>
      <c r="N68" s="371">
        <v>5</v>
      </c>
      <c r="O68" s="373">
        <v>6</v>
      </c>
      <c r="P68" s="371">
        <v>1</v>
      </c>
    </row>
    <row r="69" spans="1:16" ht="93" customHeight="1">
      <c r="A69" s="333" t="s">
        <v>623</v>
      </c>
      <c r="B69" s="362">
        <v>45765</v>
      </c>
      <c r="C69" s="363">
        <f t="shared" ca="1" si="9"/>
        <v>320</v>
      </c>
      <c r="D69" s="333" t="s">
        <v>624</v>
      </c>
      <c r="E69" s="332" t="s">
        <v>521</v>
      </c>
      <c r="F69" s="366" t="s">
        <v>625</v>
      </c>
      <c r="G69" s="382" t="s">
        <v>626</v>
      </c>
      <c r="H69" s="422" t="s">
        <v>627</v>
      </c>
      <c r="I69" s="353" t="s">
        <v>613</v>
      </c>
      <c r="J69" s="335" t="s">
        <v>446</v>
      </c>
      <c r="K69" s="572" t="s">
        <v>621</v>
      </c>
      <c r="L69" s="449" t="s">
        <v>628</v>
      </c>
      <c r="M69" s="335">
        <v>26</v>
      </c>
      <c r="N69" s="576">
        <v>9</v>
      </c>
      <c r="O69" s="576">
        <v>6</v>
      </c>
      <c r="P69" s="577">
        <v>3</v>
      </c>
    </row>
    <row r="70" spans="1:16" ht="93" customHeight="1" thickBot="1">
      <c r="A70" s="351" t="s">
        <v>623</v>
      </c>
      <c r="B70" s="352">
        <v>45810</v>
      </c>
      <c r="C70" s="647">
        <f ca="1">_xlfn.DAYS(TODAY(),B70)</f>
        <v>275</v>
      </c>
      <c r="D70" s="351" t="s">
        <v>629</v>
      </c>
      <c r="E70" s="332" t="s">
        <v>521</v>
      </c>
      <c r="F70" s="366" t="s">
        <v>575</v>
      </c>
      <c r="G70" s="386" t="s">
        <v>630</v>
      </c>
      <c r="H70" s="422" t="s">
        <v>432</v>
      </c>
      <c r="I70" s="353" t="s">
        <v>613</v>
      </c>
      <c r="J70" s="353" t="s">
        <v>418</v>
      </c>
      <c r="K70" s="571" t="s">
        <v>621</v>
      </c>
      <c r="L70" s="629" t="s">
        <v>631</v>
      </c>
      <c r="M70" s="353">
        <v>5</v>
      </c>
      <c r="N70" s="371">
        <v>0</v>
      </c>
      <c r="O70" s="371">
        <v>0</v>
      </c>
      <c r="P70" s="630">
        <v>1</v>
      </c>
    </row>
    <row r="71" spans="1:16" s="27" customFormat="1" ht="15" customHeight="1" thickBot="1">
      <c r="A71" s="328" t="s">
        <v>556</v>
      </c>
      <c r="B71" s="886" t="s">
        <v>109</v>
      </c>
      <c r="C71" s="887"/>
      <c r="D71" s="887"/>
      <c r="E71" s="888"/>
      <c r="F71" s="329"/>
      <c r="G71" s="329"/>
      <c r="H71" s="329"/>
      <c r="I71" s="330"/>
      <c r="J71" s="330"/>
      <c r="K71" s="329"/>
      <c r="L71" s="389"/>
      <c r="M71" s="508"/>
      <c r="N71" s="509" t="e">
        <f>SUM(#REF!)</f>
        <v>#REF!</v>
      </c>
      <c r="O71" s="509" t="e">
        <f>SUM(#REF!)</f>
        <v>#REF!</v>
      </c>
      <c r="P71" s="458">
        <v>0</v>
      </c>
    </row>
    <row r="72" spans="1:16" s="105" customFormat="1" ht="16.899999999999999" customHeight="1">
      <c r="A72" s="518" t="s">
        <v>632</v>
      </c>
      <c r="B72" s="875" t="s">
        <v>49</v>
      </c>
      <c r="C72" s="876"/>
      <c r="D72" s="876"/>
      <c r="E72" s="877"/>
      <c r="F72" s="405"/>
      <c r="G72" s="405"/>
      <c r="H72" s="405"/>
      <c r="I72" s="519"/>
      <c r="J72" s="520"/>
      <c r="K72" s="405"/>
      <c r="L72" s="521"/>
      <c r="M72" s="516"/>
      <c r="N72" s="517">
        <f>SUM(N73:N75)</f>
        <v>8</v>
      </c>
      <c r="O72" s="517">
        <f>SUM(O73:O75)</f>
        <v>6</v>
      </c>
      <c r="P72" s="517">
        <f>SUM(P73:P75)</f>
        <v>3</v>
      </c>
    </row>
    <row r="73" spans="1:16" s="27" customFormat="1" ht="74.25" customHeight="1">
      <c r="A73" s="273" t="s">
        <v>633</v>
      </c>
      <c r="B73" s="408">
        <v>45810</v>
      </c>
      <c r="C73" s="273">
        <f ca="1">_xlfn.DAYS(TODAY(),B73)</f>
        <v>275</v>
      </c>
      <c r="D73" s="273">
        <v>169547</v>
      </c>
      <c r="E73" s="273" t="s">
        <v>441</v>
      </c>
      <c r="F73" s="396" t="s">
        <v>490</v>
      </c>
      <c r="G73" s="289" t="s">
        <v>634</v>
      </c>
      <c r="H73" s="273" t="s">
        <v>635</v>
      </c>
      <c r="I73" s="273" t="s">
        <v>85</v>
      </c>
      <c r="J73" s="273" t="s">
        <v>353</v>
      </c>
      <c r="K73" s="289" t="s">
        <v>621</v>
      </c>
      <c r="L73" s="745" t="s">
        <v>636</v>
      </c>
      <c r="M73" s="273">
        <v>10</v>
      </c>
      <c r="N73" s="529">
        <v>6</v>
      </c>
      <c r="O73" s="529">
        <v>6</v>
      </c>
      <c r="P73" s="529">
        <v>1</v>
      </c>
    </row>
    <row r="74" spans="1:16" ht="74.25" customHeight="1">
      <c r="A74" s="287" t="s">
        <v>623</v>
      </c>
      <c r="B74" s="417">
        <v>45748</v>
      </c>
      <c r="C74" s="510">
        <f ca="1">_xlfn.DAYS(TODAY(),B74)</f>
        <v>337</v>
      </c>
      <c r="D74" s="287" t="s">
        <v>637</v>
      </c>
      <c r="E74" s="530" t="s">
        <v>521</v>
      </c>
      <c r="F74" s="283" t="s">
        <v>575</v>
      </c>
      <c r="G74" s="450" t="s">
        <v>638</v>
      </c>
      <c r="H74" s="287" t="s">
        <v>639</v>
      </c>
      <c r="I74" s="287" t="s">
        <v>57</v>
      </c>
      <c r="J74" s="287" t="s">
        <v>418</v>
      </c>
      <c r="K74" s="451" t="s">
        <v>621</v>
      </c>
      <c r="L74" s="746" t="s">
        <v>640</v>
      </c>
      <c r="M74" s="450">
        <v>2</v>
      </c>
      <c r="N74" s="480">
        <v>2</v>
      </c>
      <c r="O74" s="480">
        <v>0</v>
      </c>
      <c r="P74" s="531">
        <v>1</v>
      </c>
    </row>
    <row r="75" spans="1:16" ht="93" customHeight="1" thickBot="1">
      <c r="A75" s="446" t="s">
        <v>623</v>
      </c>
      <c r="B75" s="445">
        <v>45803</v>
      </c>
      <c r="C75" s="648">
        <f ca="1">_xlfn.DAYS(TODAY(),B75)</f>
        <v>282</v>
      </c>
      <c r="D75" s="446" t="s">
        <v>629</v>
      </c>
      <c r="E75" s="649" t="s">
        <v>521</v>
      </c>
      <c r="F75" s="650" t="s">
        <v>575</v>
      </c>
      <c r="G75" s="444" t="s">
        <v>641</v>
      </c>
      <c r="H75" s="446" t="s">
        <v>639</v>
      </c>
      <c r="I75" s="446" t="s">
        <v>57</v>
      </c>
      <c r="J75" s="446" t="s">
        <v>418</v>
      </c>
      <c r="K75" s="651" t="s">
        <v>621</v>
      </c>
      <c r="L75" s="747" t="s">
        <v>642</v>
      </c>
      <c r="M75" s="444">
        <v>1</v>
      </c>
      <c r="N75" s="652">
        <v>0</v>
      </c>
      <c r="O75" s="652">
        <v>0</v>
      </c>
      <c r="P75" s="653">
        <v>1</v>
      </c>
    </row>
    <row r="76" spans="1:16" s="27" customFormat="1" ht="16.899999999999999" customHeight="1" thickBot="1">
      <c r="A76" s="328" t="s">
        <v>632</v>
      </c>
      <c r="B76" s="853" t="s">
        <v>58</v>
      </c>
      <c r="C76" s="854"/>
      <c r="D76" s="854"/>
      <c r="E76" s="855"/>
      <c r="F76" s="604"/>
      <c r="G76" s="604"/>
      <c r="H76" s="604"/>
      <c r="I76" s="330"/>
      <c r="J76" s="615"/>
      <c r="K76" s="604"/>
      <c r="L76" s="573"/>
      <c r="M76" s="614"/>
      <c r="N76" s="575">
        <f>SUM(N77:N78)</f>
        <v>4.5</v>
      </c>
      <c r="O76" s="575">
        <f>SUM(O77:O78)</f>
        <v>3.5</v>
      </c>
      <c r="P76" s="575">
        <f>SUM(P77:P80)</f>
        <v>4</v>
      </c>
    </row>
    <row r="77" spans="1:16" s="5" customFormat="1" ht="71.45" customHeight="1">
      <c r="A77" s="556" t="s">
        <v>643</v>
      </c>
      <c r="B77" s="557">
        <v>45691</v>
      </c>
      <c r="C77" s="600">
        <f ca="1">_xlfn.DAYS(TODAY(),B77)</f>
        <v>394</v>
      </c>
      <c r="D77" s="289" t="s">
        <v>644</v>
      </c>
      <c r="E77" s="289" t="s">
        <v>502</v>
      </c>
      <c r="F77" s="289" t="s">
        <v>503</v>
      </c>
      <c r="G77" s="289" t="s">
        <v>645</v>
      </c>
      <c r="H77" s="392" t="s">
        <v>646</v>
      </c>
      <c r="I77" s="616" t="s">
        <v>91</v>
      </c>
      <c r="J77" s="351" t="s">
        <v>330</v>
      </c>
      <c r="K77" s="351" t="s">
        <v>647</v>
      </c>
      <c r="L77" s="655" t="s">
        <v>648</v>
      </c>
      <c r="M77" s="495">
        <v>33</v>
      </c>
      <c r="N77" s="371">
        <v>4</v>
      </c>
      <c r="O77" s="373">
        <v>3</v>
      </c>
      <c r="P77" s="373">
        <v>1</v>
      </c>
    </row>
    <row r="78" spans="1:16" s="5" customFormat="1" ht="71.25" customHeight="1">
      <c r="A78" s="287" t="s">
        <v>649</v>
      </c>
      <c r="B78" s="417">
        <v>45691</v>
      </c>
      <c r="C78" s="601">
        <f ca="1">_xlfn.DAYS(TODAY(),B78)</f>
        <v>394</v>
      </c>
      <c r="D78" s="289">
        <v>163834</v>
      </c>
      <c r="E78" s="289" t="s">
        <v>521</v>
      </c>
      <c r="F78" s="289" t="s">
        <v>575</v>
      </c>
      <c r="G78" s="465" t="s">
        <v>650</v>
      </c>
      <c r="H78" s="353" t="s">
        <v>651</v>
      </c>
      <c r="I78" s="353" t="s">
        <v>57</v>
      </c>
      <c r="J78" s="353" t="s">
        <v>418</v>
      </c>
      <c r="K78" s="353" t="s">
        <v>647</v>
      </c>
      <c r="L78" s="617" t="s">
        <v>652</v>
      </c>
      <c r="M78" s="495">
        <v>15</v>
      </c>
      <c r="N78" s="371">
        <v>0.5</v>
      </c>
      <c r="O78" s="371">
        <v>0.5</v>
      </c>
      <c r="P78" s="373">
        <v>1</v>
      </c>
    </row>
    <row r="79" spans="1:16" s="5" customFormat="1" ht="71.25" customHeight="1">
      <c r="A79" s="287" t="s">
        <v>316</v>
      </c>
      <c r="B79" s="417">
        <v>45813</v>
      </c>
      <c r="C79" s="451">
        <f ca="1">_xlfn.DAYS(TODAY(),B79)</f>
        <v>272</v>
      </c>
      <c r="D79" s="289" t="s">
        <v>481</v>
      </c>
      <c r="E79" s="289" t="s">
        <v>521</v>
      </c>
      <c r="F79" s="289" t="s">
        <v>575</v>
      </c>
      <c r="G79" s="465" t="s">
        <v>653</v>
      </c>
      <c r="H79" s="353" t="s">
        <v>651</v>
      </c>
      <c r="I79" s="353" t="s">
        <v>57</v>
      </c>
      <c r="J79" s="353" t="s">
        <v>418</v>
      </c>
      <c r="K79" s="353" t="s">
        <v>647</v>
      </c>
      <c r="L79" s="618" t="s">
        <v>364</v>
      </c>
      <c r="M79" s="495">
        <v>0</v>
      </c>
      <c r="N79" s="371">
        <v>0</v>
      </c>
      <c r="O79" s="371">
        <v>0</v>
      </c>
      <c r="P79" s="373">
        <v>1</v>
      </c>
    </row>
    <row r="80" spans="1:16" s="5" customFormat="1" ht="71.25" customHeight="1">
      <c r="A80" s="287" t="s">
        <v>316</v>
      </c>
      <c r="B80" s="417">
        <v>45789</v>
      </c>
      <c r="C80" s="451">
        <f ca="1">_xlfn.DAYS(TODAY(),B80)</f>
        <v>296</v>
      </c>
      <c r="D80" s="289" t="s">
        <v>481</v>
      </c>
      <c r="E80" s="289" t="s">
        <v>521</v>
      </c>
      <c r="F80" s="289" t="s">
        <v>575</v>
      </c>
      <c r="G80" s="465" t="s">
        <v>654</v>
      </c>
      <c r="H80" s="353" t="s">
        <v>651</v>
      </c>
      <c r="I80" s="353" t="s">
        <v>57</v>
      </c>
      <c r="J80" s="353" t="s">
        <v>418</v>
      </c>
      <c r="K80" s="353" t="s">
        <v>647</v>
      </c>
      <c r="L80" s="618" t="s">
        <v>655</v>
      </c>
      <c r="M80" s="495">
        <v>2</v>
      </c>
      <c r="N80" s="371">
        <v>0.5</v>
      </c>
      <c r="O80" s="371">
        <v>0</v>
      </c>
      <c r="P80" s="373">
        <v>1</v>
      </c>
    </row>
    <row r="81" spans="1:16" s="27" customFormat="1" ht="17.25" customHeight="1" thickBot="1">
      <c r="A81" s="528" t="s">
        <v>632</v>
      </c>
      <c r="B81" s="584" t="s">
        <v>79</v>
      </c>
      <c r="C81" s="602"/>
      <c r="D81" s="599"/>
      <c r="E81" s="599"/>
      <c r="F81" s="460"/>
      <c r="G81" s="460"/>
      <c r="H81" s="605"/>
      <c r="I81" s="603"/>
      <c r="J81" s="388"/>
      <c r="K81" s="388"/>
      <c r="L81" s="389"/>
      <c r="M81" s="508"/>
      <c r="N81" s="587">
        <f>SUM(N82:N83)</f>
        <v>15</v>
      </c>
      <c r="O81" s="587">
        <f>SUM(O82:O83)</f>
        <v>16</v>
      </c>
      <c r="P81" s="587">
        <f>SUM(P82:P85)</f>
        <v>6</v>
      </c>
    </row>
    <row r="82" spans="1:16" s="27" customFormat="1" ht="66" customHeight="1">
      <c r="A82" s="284" t="s">
        <v>656</v>
      </c>
      <c r="B82" s="417">
        <v>45792</v>
      </c>
      <c r="C82" s="451">
        <f ca="1">_xlfn.DAYS(TODAY(),B82)</f>
        <v>293</v>
      </c>
      <c r="D82" s="392">
        <v>169546</v>
      </c>
      <c r="E82" s="392" t="s">
        <v>441</v>
      </c>
      <c r="F82" s="392" t="s">
        <v>558</v>
      </c>
      <c r="G82" s="392" t="s">
        <v>657</v>
      </c>
      <c r="H82" s="289" t="s">
        <v>511</v>
      </c>
      <c r="I82" s="563" t="s">
        <v>85</v>
      </c>
      <c r="J82" s="506" t="s">
        <v>353</v>
      </c>
      <c r="K82" s="554" t="s">
        <v>658</v>
      </c>
      <c r="L82" s="748" t="s">
        <v>659</v>
      </c>
      <c r="M82" s="481">
        <v>20</v>
      </c>
      <c r="N82" s="555">
        <v>8</v>
      </c>
      <c r="O82" s="585">
        <v>9</v>
      </c>
      <c r="P82" s="586">
        <v>1</v>
      </c>
    </row>
    <row r="83" spans="1:16" ht="99" customHeight="1">
      <c r="A83" s="422" t="s">
        <v>660</v>
      </c>
      <c r="B83" s="370">
        <v>45770</v>
      </c>
      <c r="C83" s="606">
        <f ca="1">_xlfn.DAYS(TODAY(),B83)</f>
        <v>315</v>
      </c>
      <c r="D83" s="353">
        <v>169997</v>
      </c>
      <c r="E83" s="377" t="s">
        <v>521</v>
      </c>
      <c r="F83" s="366" t="s">
        <v>625</v>
      </c>
      <c r="G83" s="353" t="s">
        <v>661</v>
      </c>
      <c r="H83" s="386" t="s">
        <v>627</v>
      </c>
      <c r="I83" s="351" t="s">
        <v>57</v>
      </c>
      <c r="J83" s="351" t="s">
        <v>418</v>
      </c>
      <c r="K83" s="422" t="s">
        <v>621</v>
      </c>
      <c r="L83" s="367" t="s">
        <v>662</v>
      </c>
      <c r="M83" s="386">
        <v>84</v>
      </c>
      <c r="N83" s="375">
        <v>7</v>
      </c>
      <c r="O83" s="375">
        <v>7</v>
      </c>
      <c r="P83" s="376">
        <v>2</v>
      </c>
    </row>
    <row r="84" spans="1:16" ht="99" customHeight="1">
      <c r="A84" s="422" t="s">
        <v>623</v>
      </c>
      <c r="B84" s="352">
        <v>45789</v>
      </c>
      <c r="C84" s="606">
        <f ca="1">_xlfn.DAYS(TODAY(),B84)</f>
        <v>296</v>
      </c>
      <c r="D84" s="351" t="s">
        <v>629</v>
      </c>
      <c r="E84" s="365" t="s">
        <v>521</v>
      </c>
      <c r="F84" s="374" t="s">
        <v>575</v>
      </c>
      <c r="G84" s="351" t="s">
        <v>661</v>
      </c>
      <c r="H84" s="386" t="s">
        <v>627</v>
      </c>
      <c r="I84" s="351" t="s">
        <v>57</v>
      </c>
      <c r="J84" s="351" t="s">
        <v>418</v>
      </c>
      <c r="K84" s="422" t="s">
        <v>621</v>
      </c>
      <c r="L84" s="591" t="s">
        <v>663</v>
      </c>
      <c r="M84" s="386">
        <v>0</v>
      </c>
      <c r="N84" s="375">
        <v>0</v>
      </c>
      <c r="O84" s="375">
        <v>0</v>
      </c>
      <c r="P84" s="376">
        <v>2</v>
      </c>
    </row>
    <row r="85" spans="1:16" ht="75" customHeight="1" thickBot="1">
      <c r="A85" s="608" t="s">
        <v>552</v>
      </c>
      <c r="B85" s="609">
        <v>45709</v>
      </c>
      <c r="C85" s="610">
        <f t="shared" ref="C85" ca="1" si="10">_xlfn.DAYS(TODAY(),B85)</f>
        <v>376</v>
      </c>
      <c r="D85" s="610" t="s">
        <v>481</v>
      </c>
      <c r="E85" s="611" t="s">
        <v>521</v>
      </c>
      <c r="F85" s="612" t="s">
        <v>575</v>
      </c>
      <c r="G85" s="610" t="s">
        <v>664</v>
      </c>
      <c r="H85" s="613" t="s">
        <v>651</v>
      </c>
      <c r="I85" s="464" t="s">
        <v>57</v>
      </c>
      <c r="J85" s="289" t="s">
        <v>418</v>
      </c>
      <c r="K85" s="289" t="s">
        <v>621</v>
      </c>
      <c r="L85" s="568" t="s">
        <v>665</v>
      </c>
      <c r="M85" s="289">
        <v>47</v>
      </c>
      <c r="N85" s="395">
        <v>0</v>
      </c>
      <c r="O85" s="395">
        <v>0.5</v>
      </c>
      <c r="P85" s="376">
        <v>1</v>
      </c>
    </row>
    <row r="86" spans="1:16" s="27" customFormat="1" ht="16.899999999999999" customHeight="1" thickBot="1">
      <c r="A86" s="607" t="s">
        <v>632</v>
      </c>
      <c r="B86" s="878" t="s">
        <v>113</v>
      </c>
      <c r="C86" s="876"/>
      <c r="D86" s="876"/>
      <c r="E86" s="879"/>
      <c r="F86" s="605"/>
      <c r="G86" s="605"/>
      <c r="H86" s="605"/>
      <c r="I86" s="595"/>
      <c r="J86" s="412"/>
      <c r="K86" s="329"/>
      <c r="L86" s="389"/>
      <c r="M86" s="567" t="s">
        <v>666</v>
      </c>
      <c r="N86" s="479" t="e">
        <f>SUM(#REF!)</f>
        <v>#REF!</v>
      </c>
      <c r="O86" s="479" t="e">
        <f>SUM(#REF!)</f>
        <v>#REF!</v>
      </c>
      <c r="P86" s="479">
        <f>SUM(P87)</f>
        <v>1</v>
      </c>
    </row>
    <row r="87" spans="1:16" ht="39" customHeight="1" thickBot="1">
      <c r="A87" s="571" t="s">
        <v>552</v>
      </c>
      <c r="B87" s="394">
        <v>45797</v>
      </c>
      <c r="C87" s="289">
        <f ca="1">_xlfn.DAYS(TODAY(),B87)</f>
        <v>288</v>
      </c>
      <c r="D87" s="289" t="s">
        <v>481</v>
      </c>
      <c r="E87" s="274" t="s">
        <v>521</v>
      </c>
      <c r="F87" s="396" t="s">
        <v>575</v>
      </c>
      <c r="G87" s="289" t="s">
        <v>667</v>
      </c>
      <c r="H87" s="289" t="s">
        <v>651</v>
      </c>
      <c r="I87" s="464" t="s">
        <v>57</v>
      </c>
      <c r="J87" s="289" t="s">
        <v>418</v>
      </c>
      <c r="K87" s="289" t="s">
        <v>621</v>
      </c>
      <c r="L87" s="568" t="s">
        <v>668</v>
      </c>
      <c r="M87" s="289">
        <v>18</v>
      </c>
      <c r="N87" s="395">
        <v>0</v>
      </c>
      <c r="O87" s="395">
        <v>0.5</v>
      </c>
      <c r="P87" s="376">
        <v>1</v>
      </c>
    </row>
    <row r="88" spans="1:16" s="27" customFormat="1" ht="15" customHeight="1">
      <c r="A88" s="637" t="s">
        <v>632</v>
      </c>
      <c r="B88" s="883" t="s">
        <v>29</v>
      </c>
      <c r="C88" s="884"/>
      <c r="D88" s="884"/>
      <c r="E88" s="885"/>
      <c r="F88" s="623"/>
      <c r="G88" s="623"/>
      <c r="H88" s="623"/>
      <c r="I88" s="631"/>
      <c r="J88" s="519"/>
      <c r="K88" s="405"/>
      <c r="L88" s="635"/>
      <c r="M88" s="636"/>
      <c r="N88" s="578" t="e">
        <f>SUM(#REF!)</f>
        <v>#REF!</v>
      </c>
      <c r="O88" s="578" t="e">
        <f>SUM(#REF!)</f>
        <v>#REF!</v>
      </c>
      <c r="P88" s="578">
        <f>SUM(P89:P91)</f>
        <v>3</v>
      </c>
    </row>
    <row r="89" spans="1:16" s="5" customFormat="1" ht="71.45" customHeight="1">
      <c r="A89" s="353" t="s">
        <v>669</v>
      </c>
      <c r="B89" s="370">
        <v>45791</v>
      </c>
      <c r="C89" s="353">
        <f ca="1">_xlfn.DAYS(TODAY(),B89)</f>
        <v>294</v>
      </c>
      <c r="D89" s="353" t="s">
        <v>670</v>
      </c>
      <c r="E89" s="353" t="s">
        <v>502</v>
      </c>
      <c r="F89" s="353" t="s">
        <v>503</v>
      </c>
      <c r="G89" s="353" t="s">
        <v>671</v>
      </c>
      <c r="H89" s="353" t="s">
        <v>672</v>
      </c>
      <c r="I89" s="353" t="s">
        <v>91</v>
      </c>
      <c r="J89" s="353" t="s">
        <v>330</v>
      </c>
      <c r="K89" s="571" t="s">
        <v>647</v>
      </c>
      <c r="L89" s="655" t="s">
        <v>673</v>
      </c>
      <c r="M89" s="353">
        <v>15</v>
      </c>
      <c r="N89" s="371">
        <v>4</v>
      </c>
      <c r="O89" s="373">
        <v>4</v>
      </c>
      <c r="P89" s="373">
        <v>1</v>
      </c>
    </row>
    <row r="90" spans="1:16" s="5" customFormat="1" ht="71.45" customHeight="1">
      <c r="A90" s="353" t="s">
        <v>674</v>
      </c>
      <c r="B90" s="370">
        <v>45784</v>
      </c>
      <c r="C90" s="353">
        <f ca="1">_xlfn.DAYS(TODAY(),B90)</f>
        <v>301</v>
      </c>
      <c r="D90" s="353">
        <v>168093</v>
      </c>
      <c r="E90" s="353" t="s">
        <v>521</v>
      </c>
      <c r="F90" s="366" t="s">
        <v>522</v>
      </c>
      <c r="G90" s="353" t="s">
        <v>675</v>
      </c>
      <c r="H90" s="353" t="s">
        <v>584</v>
      </c>
      <c r="I90" s="353" t="s">
        <v>613</v>
      </c>
      <c r="J90" s="353" t="s">
        <v>446</v>
      </c>
      <c r="K90" s="571" t="s">
        <v>676</v>
      </c>
      <c r="L90" s="655" t="s">
        <v>677</v>
      </c>
      <c r="M90" s="353">
        <v>16</v>
      </c>
      <c r="N90" s="371">
        <v>4</v>
      </c>
      <c r="O90" s="373">
        <v>3</v>
      </c>
      <c r="P90" s="373">
        <v>1</v>
      </c>
    </row>
    <row r="91" spans="1:16" ht="38.25" customHeight="1" thickBot="1">
      <c r="A91" s="506" t="s">
        <v>552</v>
      </c>
      <c r="B91" s="634">
        <v>45804</v>
      </c>
      <c r="C91" s="478">
        <f ca="1">_xlfn.DAYS(TODAY(),B91)</f>
        <v>281</v>
      </c>
      <c r="D91" s="478" t="s">
        <v>481</v>
      </c>
      <c r="E91" s="589" t="s">
        <v>521</v>
      </c>
      <c r="F91" s="562" t="s">
        <v>575</v>
      </c>
      <c r="G91" s="478" t="s">
        <v>678</v>
      </c>
      <c r="H91" s="478" t="s">
        <v>651</v>
      </c>
      <c r="I91" s="598" t="s">
        <v>64</v>
      </c>
      <c r="J91" s="478" t="s">
        <v>418</v>
      </c>
      <c r="K91" s="429" t="s">
        <v>621</v>
      </c>
      <c r="L91" s="629" t="s">
        <v>679</v>
      </c>
      <c r="M91" s="353">
        <v>0</v>
      </c>
      <c r="N91" s="371">
        <v>1</v>
      </c>
      <c r="O91" s="371">
        <v>0.5</v>
      </c>
      <c r="P91" s="630">
        <v>1</v>
      </c>
    </row>
    <row r="92" spans="1:16" s="27" customFormat="1" ht="15" customHeight="1" thickBot="1">
      <c r="A92" s="637" t="s">
        <v>632</v>
      </c>
      <c r="B92" s="850" t="s">
        <v>7</v>
      </c>
      <c r="C92" s="851"/>
      <c r="D92" s="851"/>
      <c r="E92" s="852"/>
      <c r="F92" s="460"/>
      <c r="G92" s="623"/>
      <c r="H92" s="623"/>
      <c r="I92" s="624"/>
      <c r="J92" s="625"/>
      <c r="K92" s="604"/>
      <c r="L92" s="635"/>
      <c r="M92" s="636"/>
      <c r="N92" s="627">
        <f>SUM(N93:N96)</f>
        <v>18</v>
      </c>
      <c r="O92" s="627">
        <f>SUM(O82:O85)</f>
        <v>16.5</v>
      </c>
      <c r="P92" s="628">
        <f>SUM(P93:P96)</f>
        <v>5</v>
      </c>
    </row>
    <row r="93" spans="1:16" s="27" customFormat="1" ht="55.5" customHeight="1">
      <c r="A93" s="661" t="s">
        <v>680</v>
      </c>
      <c r="B93" s="662">
        <v>45810</v>
      </c>
      <c r="C93" s="451">
        <f ca="1">_xlfn.DAYS(TODAY(),B93)</f>
        <v>275</v>
      </c>
      <c r="D93" s="438">
        <v>170133</v>
      </c>
      <c r="E93" s="289" t="s">
        <v>441</v>
      </c>
      <c r="F93" s="465" t="s">
        <v>490</v>
      </c>
      <c r="G93" s="353" t="s">
        <v>681</v>
      </c>
      <c r="H93" s="353" t="s">
        <v>511</v>
      </c>
      <c r="I93" s="353" t="s">
        <v>85</v>
      </c>
      <c r="J93" s="353" t="s">
        <v>353</v>
      </c>
      <c r="K93" s="571" t="s">
        <v>682</v>
      </c>
      <c r="L93" s="360" t="s">
        <v>364</v>
      </c>
      <c r="M93" s="353">
        <v>0</v>
      </c>
      <c r="N93" s="371">
        <v>5</v>
      </c>
      <c r="O93" s="373">
        <v>4</v>
      </c>
      <c r="P93" s="373">
        <v>1</v>
      </c>
    </row>
    <row r="94" spans="1:16" s="5" customFormat="1" ht="71.45" customHeight="1">
      <c r="A94" s="353" t="s">
        <v>683</v>
      </c>
      <c r="B94" s="370">
        <v>45791</v>
      </c>
      <c r="C94" s="353">
        <f ca="1">_xlfn.DAYS(TODAY(),B94)</f>
        <v>294</v>
      </c>
      <c r="D94" s="353" t="s">
        <v>670</v>
      </c>
      <c r="E94" s="464" t="s">
        <v>502</v>
      </c>
      <c r="F94" s="465" t="s">
        <v>503</v>
      </c>
      <c r="G94" s="353" t="s">
        <v>684</v>
      </c>
      <c r="H94" s="353" t="s">
        <v>672</v>
      </c>
      <c r="I94" s="353" t="s">
        <v>91</v>
      </c>
      <c r="J94" s="353" t="s">
        <v>330</v>
      </c>
      <c r="K94" s="353" t="s">
        <v>647</v>
      </c>
      <c r="L94" s="655" t="s">
        <v>685</v>
      </c>
      <c r="M94" s="353">
        <v>20</v>
      </c>
      <c r="N94" s="371">
        <v>5</v>
      </c>
      <c r="O94" s="373">
        <v>5</v>
      </c>
      <c r="P94" s="373">
        <v>1</v>
      </c>
    </row>
    <row r="95" spans="1:16" s="5" customFormat="1" ht="71.45" customHeight="1">
      <c r="A95" s="353" t="s">
        <v>316</v>
      </c>
      <c r="B95" s="370">
        <v>45784</v>
      </c>
      <c r="C95" s="353">
        <f ca="1">_xlfn.DAYS(TODAY(),B95)</f>
        <v>301</v>
      </c>
      <c r="D95" s="353" t="s">
        <v>686</v>
      </c>
      <c r="E95" s="464" t="s">
        <v>521</v>
      </c>
      <c r="F95" s="396" t="s">
        <v>522</v>
      </c>
      <c r="G95" s="353" t="s">
        <v>687</v>
      </c>
      <c r="H95" s="353" t="s">
        <v>584</v>
      </c>
      <c r="I95" s="353" t="s">
        <v>613</v>
      </c>
      <c r="J95" s="353" t="s">
        <v>446</v>
      </c>
      <c r="K95" s="353" t="s">
        <v>676</v>
      </c>
      <c r="L95" s="655" t="s">
        <v>688</v>
      </c>
      <c r="M95" s="353">
        <v>23</v>
      </c>
      <c r="N95" s="371">
        <v>8</v>
      </c>
      <c r="O95" s="373">
        <v>6</v>
      </c>
      <c r="P95" s="373">
        <v>2</v>
      </c>
    </row>
    <row r="96" spans="1:16" ht="91.15" customHeight="1">
      <c r="A96" s="353" t="s">
        <v>689</v>
      </c>
      <c r="B96" s="370">
        <v>45792</v>
      </c>
      <c r="C96" s="606">
        <f ca="1">_xlfn.DAYS(TODAY(),B96)</f>
        <v>293</v>
      </c>
      <c r="D96" s="353">
        <v>168091</v>
      </c>
      <c r="E96" s="660" t="s">
        <v>521</v>
      </c>
      <c r="F96" s="622" t="s">
        <v>575</v>
      </c>
      <c r="G96" s="353" t="s">
        <v>690</v>
      </c>
      <c r="H96" s="353" t="s">
        <v>639</v>
      </c>
      <c r="I96" s="353" t="s">
        <v>64</v>
      </c>
      <c r="J96" s="353" t="s">
        <v>418</v>
      </c>
      <c r="K96" s="353" t="s">
        <v>621</v>
      </c>
      <c r="L96" s="629" t="s">
        <v>691</v>
      </c>
      <c r="M96" s="353">
        <v>50</v>
      </c>
      <c r="N96" s="371">
        <v>0</v>
      </c>
      <c r="O96" s="371">
        <v>0</v>
      </c>
      <c r="P96" s="630">
        <v>1</v>
      </c>
    </row>
    <row r="97" spans="1:48" s="553" customFormat="1" ht="17.25" customHeight="1">
      <c r="A97" s="607" t="s">
        <v>692</v>
      </c>
      <c r="B97" s="621" t="s">
        <v>86</v>
      </c>
      <c r="C97" s="621"/>
      <c r="D97" s="621"/>
      <c r="E97" s="599"/>
      <c r="F97" s="599"/>
      <c r="G97" s="621"/>
      <c r="H97" s="621"/>
      <c r="I97" s="626"/>
      <c r="J97" s="626"/>
      <c r="K97" s="626"/>
      <c r="L97" s="626"/>
      <c r="M97" s="626"/>
      <c r="N97" s="627" t="e">
        <f>SUM(#REF!)</f>
        <v>#REF!</v>
      </c>
      <c r="O97" s="627" t="e">
        <f>SUM(#REF!)</f>
        <v>#REF!</v>
      </c>
      <c r="P97" s="628">
        <f>SUM(P98:P100)</f>
        <v>5</v>
      </c>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row>
    <row r="98" spans="1:48" s="553" customFormat="1" ht="85.15" customHeight="1">
      <c r="A98" s="571" t="s">
        <v>693</v>
      </c>
      <c r="B98" s="394">
        <v>45817</v>
      </c>
      <c r="C98" s="289">
        <f t="shared" ref="C98:C100" ca="1" si="11">_xlfn.DAYS(TODAY(),B98)</f>
        <v>268</v>
      </c>
      <c r="D98" s="289" t="s">
        <v>694</v>
      </c>
      <c r="E98" s="289" t="s">
        <v>441</v>
      </c>
      <c r="F98" s="396" t="s">
        <v>490</v>
      </c>
      <c r="G98" s="289" t="s">
        <v>695</v>
      </c>
      <c r="H98" s="289" t="s">
        <v>696</v>
      </c>
      <c r="I98" s="596" t="s">
        <v>134</v>
      </c>
      <c r="J98" s="566" t="s">
        <v>295</v>
      </c>
      <c r="K98" s="353" t="s">
        <v>507</v>
      </c>
      <c r="L98" s="749" t="s">
        <v>697</v>
      </c>
      <c r="M98" s="353">
        <v>46</v>
      </c>
      <c r="N98" s="371">
        <v>16</v>
      </c>
      <c r="O98" s="371">
        <v>16</v>
      </c>
      <c r="P98" s="371">
        <v>2</v>
      </c>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row>
    <row r="99" spans="1:48" s="27" customFormat="1" ht="83.25" customHeight="1">
      <c r="A99" s="571" t="s">
        <v>698</v>
      </c>
      <c r="B99" s="394">
        <v>45810</v>
      </c>
      <c r="C99" s="289">
        <f t="shared" ca="1" si="11"/>
        <v>275</v>
      </c>
      <c r="D99" s="289">
        <v>166884</v>
      </c>
      <c r="E99" s="289" t="s">
        <v>502</v>
      </c>
      <c r="F99" s="396" t="s">
        <v>503</v>
      </c>
      <c r="G99" s="289" t="s">
        <v>699</v>
      </c>
      <c r="H99" s="289" t="s">
        <v>696</v>
      </c>
      <c r="I99" s="596" t="s">
        <v>123</v>
      </c>
      <c r="J99" s="566" t="s">
        <v>418</v>
      </c>
      <c r="K99" s="353" t="s">
        <v>507</v>
      </c>
      <c r="L99" s="749" t="s">
        <v>700</v>
      </c>
      <c r="M99" s="353">
        <v>4</v>
      </c>
      <c r="N99" s="371">
        <v>14</v>
      </c>
      <c r="O99" s="371">
        <v>12</v>
      </c>
      <c r="P99" s="371">
        <v>1</v>
      </c>
      <c r="Q99" s="5"/>
      <c r="R99" s="5"/>
      <c r="S99" s="5"/>
      <c r="T99" s="5"/>
      <c r="U99" s="5"/>
      <c r="V99" s="5"/>
      <c r="W99" s="5"/>
      <c r="X99" s="5"/>
      <c r="Y99" s="5"/>
      <c r="Z99" s="5"/>
      <c r="AA99" s="5"/>
      <c r="AB99" s="5"/>
      <c r="AC99" s="5"/>
      <c r="AD99" s="5"/>
      <c r="AE99" s="5"/>
      <c r="AF99" s="5"/>
      <c r="AG99" s="5"/>
      <c r="AH99" s="5"/>
      <c r="AI99" s="5"/>
      <c r="AJ99" s="5"/>
      <c r="AK99" s="5"/>
    </row>
    <row r="100" spans="1:48" s="27" customFormat="1" ht="46.5" customHeight="1">
      <c r="A100" s="571" t="s">
        <v>552</v>
      </c>
      <c r="B100" s="394">
        <v>45744</v>
      </c>
      <c r="C100" s="289">
        <f t="shared" ca="1" si="11"/>
        <v>341</v>
      </c>
      <c r="D100" s="289">
        <v>167858</v>
      </c>
      <c r="E100" s="274" t="s">
        <v>451</v>
      </c>
      <c r="F100" s="396" t="s">
        <v>291</v>
      </c>
      <c r="G100" s="289" t="s">
        <v>701</v>
      </c>
      <c r="H100" s="289" t="s">
        <v>702</v>
      </c>
      <c r="I100" s="596" t="s">
        <v>124</v>
      </c>
      <c r="J100" s="566" t="s">
        <v>323</v>
      </c>
      <c r="K100" s="353" t="s">
        <v>507</v>
      </c>
      <c r="L100" s="541" t="s">
        <v>703</v>
      </c>
      <c r="M100" s="353">
        <v>21</v>
      </c>
      <c r="N100" s="371">
        <v>5</v>
      </c>
      <c r="O100" s="371">
        <v>3</v>
      </c>
      <c r="P100" s="371">
        <v>2</v>
      </c>
      <c r="Q100" s="5"/>
      <c r="R100" s="5"/>
      <c r="S100" s="5"/>
      <c r="T100" s="5"/>
      <c r="U100" s="5"/>
      <c r="V100" s="5"/>
      <c r="W100" s="5"/>
      <c r="X100" s="5"/>
      <c r="Y100" s="5"/>
      <c r="Z100" s="5"/>
      <c r="AA100" s="5"/>
      <c r="AB100" s="5"/>
      <c r="AC100" s="5"/>
      <c r="AD100" s="5"/>
      <c r="AE100" s="5"/>
      <c r="AF100" s="5"/>
      <c r="AG100" s="5"/>
      <c r="AH100" s="5"/>
      <c r="AI100" s="5"/>
      <c r="AJ100" s="5"/>
      <c r="AK100" s="5"/>
    </row>
    <row r="101" spans="1:48" s="290" customFormat="1" ht="16.899999999999999" customHeight="1" thickBot="1">
      <c r="A101" s="470" t="s">
        <v>692</v>
      </c>
      <c r="B101" s="862" t="s">
        <v>65</v>
      </c>
      <c r="C101" s="863"/>
      <c r="D101" s="863"/>
      <c r="E101" s="864"/>
      <c r="F101" s="460"/>
      <c r="G101" s="460"/>
      <c r="H101" s="460"/>
      <c r="I101" s="597" t="s">
        <v>704</v>
      </c>
      <c r="J101" s="552"/>
      <c r="K101" s="551"/>
      <c r="L101" s="550"/>
      <c r="M101" s="508"/>
      <c r="N101" s="509">
        <f>SUM(N102:N102)</f>
        <v>5</v>
      </c>
      <c r="O101" s="509">
        <f>SUM(O102:O102)</f>
        <v>4</v>
      </c>
      <c r="P101" s="509">
        <f>SUM(P102:P102)</f>
        <v>1</v>
      </c>
      <c r="Q101" s="27"/>
      <c r="R101" s="27"/>
      <c r="S101" s="27"/>
      <c r="T101" s="27"/>
      <c r="U101" s="27"/>
      <c r="V101" s="27"/>
      <c r="W101" s="27"/>
      <c r="X101" s="27"/>
      <c r="Y101" s="27"/>
      <c r="Z101" s="27"/>
      <c r="AA101" s="27"/>
      <c r="AB101" s="27"/>
      <c r="AC101" s="27"/>
      <c r="AD101" s="27"/>
      <c r="AE101" s="27"/>
      <c r="AF101" s="27"/>
      <c r="AG101" s="27"/>
      <c r="AH101" s="27"/>
      <c r="AI101" s="27"/>
      <c r="AJ101" s="27"/>
      <c r="AK101" s="27"/>
    </row>
    <row r="102" spans="1:48" s="27" customFormat="1" ht="66" customHeight="1" thickBot="1">
      <c r="A102" s="439" t="s">
        <v>705</v>
      </c>
      <c r="B102" s="408">
        <v>45748</v>
      </c>
      <c r="C102" s="289">
        <f ca="1">_xlfn.DAYS(TODAY(),B102)</f>
        <v>337</v>
      </c>
      <c r="D102" s="459">
        <v>165557</v>
      </c>
      <c r="E102" s="289" t="s">
        <v>521</v>
      </c>
      <c r="F102" s="396" t="s">
        <v>625</v>
      </c>
      <c r="G102" s="289" t="s">
        <v>706</v>
      </c>
      <c r="H102" s="400" t="s">
        <v>707</v>
      </c>
      <c r="I102" s="386" t="s">
        <v>14</v>
      </c>
      <c r="J102" s="351" t="s">
        <v>353</v>
      </c>
      <c r="K102" s="351" t="s">
        <v>708</v>
      </c>
      <c r="L102" s="750" t="s">
        <v>709</v>
      </c>
      <c r="M102" s="435">
        <v>15</v>
      </c>
      <c r="N102" s="397">
        <v>5</v>
      </c>
      <c r="O102" s="397">
        <v>4</v>
      </c>
      <c r="P102" s="397">
        <v>1</v>
      </c>
    </row>
    <row r="103" spans="1:48" s="27" customFormat="1" ht="18.600000000000001" customHeight="1" thickBot="1">
      <c r="A103" s="594" t="s">
        <v>692</v>
      </c>
      <c r="B103" s="862" t="s">
        <v>96</v>
      </c>
      <c r="C103" s="863"/>
      <c r="D103" s="863"/>
      <c r="E103" s="864"/>
      <c r="F103" s="460"/>
      <c r="G103" s="460"/>
      <c r="H103" s="460"/>
      <c r="I103" s="595"/>
      <c r="J103" s="330"/>
      <c r="K103" s="329"/>
      <c r="L103" s="331"/>
      <c r="M103" s="590"/>
      <c r="N103" s="477" t="e">
        <f>SUM(#REF!)</f>
        <v>#REF!</v>
      </c>
      <c r="O103" s="477" t="e">
        <f>SUM(#REF!)</f>
        <v>#REF!</v>
      </c>
      <c r="P103" s="477">
        <v>0</v>
      </c>
    </row>
    <row r="104" spans="1:48" s="27" customFormat="1" ht="18.75" customHeight="1" thickBot="1">
      <c r="A104" s="106" t="s">
        <v>692</v>
      </c>
      <c r="B104" s="880" t="s">
        <v>116</v>
      </c>
      <c r="C104" s="881"/>
      <c r="D104" s="881"/>
      <c r="E104" s="882"/>
      <c r="F104" s="99"/>
      <c r="G104" s="99"/>
      <c r="H104" s="99"/>
      <c r="I104" s="387"/>
      <c r="J104" s="100"/>
      <c r="K104" s="99"/>
      <c r="L104" s="101"/>
      <c r="M104" s="579"/>
      <c r="N104" s="581">
        <v>0</v>
      </c>
      <c r="O104" s="581">
        <v>0</v>
      </c>
      <c r="P104" s="581">
        <v>0</v>
      </c>
    </row>
    <row r="105" spans="1:48" s="105" customFormat="1" ht="18.75" customHeight="1" thickBot="1">
      <c r="A105" s="454" t="s">
        <v>710</v>
      </c>
      <c r="B105" s="859" t="s">
        <v>105</v>
      </c>
      <c r="C105" s="860"/>
      <c r="D105" s="860"/>
      <c r="E105" s="861"/>
      <c r="F105" s="536"/>
      <c r="G105" s="535"/>
      <c r="H105" s="536"/>
      <c r="I105" s="537"/>
      <c r="J105" s="537"/>
      <c r="K105" s="536"/>
      <c r="L105" s="538"/>
      <c r="M105" s="580"/>
      <c r="N105" s="582">
        <f>SUM(N106:N106)</f>
        <v>3</v>
      </c>
      <c r="O105" s="582">
        <f>SUM(O106:O106)</f>
        <v>2</v>
      </c>
      <c r="P105" s="582">
        <f>SUM(P106:P106)</f>
        <v>0</v>
      </c>
    </row>
    <row r="106" spans="1:48" s="27" customFormat="1" ht="43.15" customHeight="1">
      <c r="A106" s="353" t="s">
        <v>552</v>
      </c>
      <c r="B106" s="394">
        <v>45716</v>
      </c>
      <c r="C106" s="465">
        <f ca="1">_xlfn.DAYS(TODAY(),B106)</f>
        <v>369</v>
      </c>
      <c r="D106" s="353" t="s">
        <v>711</v>
      </c>
      <c r="E106" s="353" t="s">
        <v>502</v>
      </c>
      <c r="F106" s="366" t="s">
        <v>503</v>
      </c>
      <c r="G106" s="353" t="s">
        <v>712</v>
      </c>
      <c r="H106" s="540" t="s">
        <v>713</v>
      </c>
      <c r="I106" s="353" t="s">
        <v>149</v>
      </c>
      <c r="J106" s="353" t="s">
        <v>330</v>
      </c>
      <c r="K106" s="335" t="s">
        <v>485</v>
      </c>
      <c r="L106" s="541" t="s">
        <v>714</v>
      </c>
      <c r="M106" s="571">
        <v>3</v>
      </c>
      <c r="N106" s="371">
        <v>3</v>
      </c>
      <c r="O106" s="371">
        <v>2</v>
      </c>
      <c r="P106" s="371">
        <v>0</v>
      </c>
      <c r="Q106" s="1"/>
      <c r="R106" s="1"/>
      <c r="S106" s="1"/>
      <c r="T106" s="1"/>
      <c r="U106" s="1"/>
      <c r="V106" s="1"/>
      <c r="W106" s="1"/>
      <c r="X106" s="1"/>
      <c r="Y106" s="1"/>
      <c r="Z106" s="1"/>
      <c r="AA106" s="1"/>
      <c r="AB106" s="1"/>
      <c r="AC106" s="1"/>
      <c r="AD106" s="1"/>
      <c r="AE106" s="1"/>
      <c r="AF106" s="1"/>
      <c r="AG106" s="1"/>
      <c r="AH106" s="1"/>
      <c r="AI106" s="1"/>
      <c r="AJ106" s="1"/>
      <c r="AK106" s="1"/>
    </row>
    <row r="107" spans="1:48" s="27" customFormat="1" ht="18.75" customHeight="1" thickBot="1">
      <c r="A107" s="106" t="s">
        <v>710</v>
      </c>
      <c r="B107" s="856" t="s">
        <v>101</v>
      </c>
      <c r="C107" s="857"/>
      <c r="D107" s="857"/>
      <c r="E107" s="858"/>
      <c r="F107" s="539"/>
      <c r="G107" s="466"/>
      <c r="H107" s="100"/>
      <c r="I107" s="100"/>
      <c r="J107" s="100"/>
      <c r="K107" s="99"/>
      <c r="L107" s="101"/>
      <c r="M107" s="277"/>
      <c r="N107" s="578">
        <f>SUM(N108:N109)</f>
        <v>28.25</v>
      </c>
      <c r="O107" s="578">
        <f>SUM(O108:O109)</f>
        <v>26.25</v>
      </c>
      <c r="P107" s="578">
        <f>SUM(P108:P109)</f>
        <v>5</v>
      </c>
    </row>
    <row r="108" spans="1:48" s="5" customFormat="1" ht="66" customHeight="1">
      <c r="A108" s="495" t="s">
        <v>715</v>
      </c>
      <c r="B108" s="394">
        <v>45761</v>
      </c>
      <c r="C108" s="289">
        <f t="shared" ref="C108:C109" ca="1" si="12">_xlfn.DAYS(TODAY(),B108)</f>
        <v>324</v>
      </c>
      <c r="D108" s="289" t="s">
        <v>716</v>
      </c>
      <c r="E108" s="465" t="s">
        <v>502</v>
      </c>
      <c r="F108" s="366" t="s">
        <v>503</v>
      </c>
      <c r="G108" s="464" t="s">
        <v>717</v>
      </c>
      <c r="H108" s="400" t="s">
        <v>713</v>
      </c>
      <c r="I108" s="289" t="s">
        <v>149</v>
      </c>
      <c r="J108" s="289" t="s">
        <v>330</v>
      </c>
      <c r="K108" s="289" t="s">
        <v>718</v>
      </c>
      <c r="L108" s="751" t="s">
        <v>719</v>
      </c>
      <c r="M108" s="465">
        <v>30</v>
      </c>
      <c r="N108" s="371">
        <v>10.25</v>
      </c>
      <c r="O108" s="371">
        <v>10.25</v>
      </c>
      <c r="P108" s="371">
        <v>2</v>
      </c>
      <c r="Q108" s="1"/>
      <c r="R108" s="1"/>
      <c r="S108" s="1"/>
      <c r="T108" s="1"/>
      <c r="U108" s="1"/>
      <c r="V108" s="1"/>
      <c r="W108" s="1"/>
      <c r="X108" s="1"/>
      <c r="Y108" s="1"/>
      <c r="Z108" s="1"/>
      <c r="AA108" s="1"/>
      <c r="AB108" s="1"/>
      <c r="AC108" s="1"/>
      <c r="AD108" s="1"/>
      <c r="AE108" s="1"/>
      <c r="AF108" s="1"/>
      <c r="AG108" s="1"/>
      <c r="AH108" s="1"/>
      <c r="AI108" s="1"/>
      <c r="AJ108" s="1"/>
      <c r="AK108" s="1"/>
    </row>
    <row r="109" spans="1:48" s="5" customFormat="1" ht="91.5" customHeight="1" thickBot="1">
      <c r="A109" s="390" t="s">
        <v>720</v>
      </c>
      <c r="B109" s="416">
        <v>45782</v>
      </c>
      <c r="C109" s="390">
        <f t="shared" ca="1" si="12"/>
        <v>303</v>
      </c>
      <c r="D109" s="390" t="s">
        <v>721</v>
      </c>
      <c r="E109" s="434" t="s">
        <v>521</v>
      </c>
      <c r="F109" s="467" t="s">
        <v>625</v>
      </c>
      <c r="G109" s="390" t="s">
        <v>722</v>
      </c>
      <c r="H109" s="390" t="s">
        <v>707</v>
      </c>
      <c r="I109" s="390" t="s">
        <v>723</v>
      </c>
      <c r="J109" s="390" t="s">
        <v>353</v>
      </c>
      <c r="K109" s="390" t="s">
        <v>724</v>
      </c>
      <c r="L109" s="752" t="s">
        <v>725</v>
      </c>
      <c r="M109" s="390">
        <v>15</v>
      </c>
      <c r="N109" s="565">
        <v>18</v>
      </c>
      <c r="O109" s="565">
        <v>16</v>
      </c>
      <c r="P109" s="565">
        <v>3</v>
      </c>
    </row>
    <row r="110" spans="1:48" ht="18.75" customHeight="1" thickBot="1">
      <c r="A110" s="469" t="s">
        <v>710</v>
      </c>
      <c r="B110" s="847" t="s">
        <v>15</v>
      </c>
      <c r="C110" s="848"/>
      <c r="D110" s="848"/>
      <c r="E110" s="849"/>
      <c r="F110" s="388"/>
      <c r="G110" s="455"/>
      <c r="H110" s="455"/>
      <c r="I110" s="456"/>
      <c r="J110" s="456"/>
      <c r="K110" s="388"/>
      <c r="L110" s="389"/>
      <c r="M110" s="457"/>
      <c r="N110" s="476">
        <f>SUM(N112:N112)</f>
        <v>4</v>
      </c>
      <c r="O110" s="476">
        <f>SUM(O112:O112)</f>
        <v>4</v>
      </c>
      <c r="P110" s="458">
        <f>SUM(P111:P112)</f>
        <v>2</v>
      </c>
    </row>
    <row r="111" spans="1:48" ht="49.9" customHeight="1">
      <c r="A111" s="353" t="s">
        <v>726</v>
      </c>
      <c r="B111" s="358">
        <v>45812</v>
      </c>
      <c r="C111" s="353">
        <f ca="1">_xlfn.DAYS(TODAY(),B111)</f>
        <v>273</v>
      </c>
      <c r="D111" s="468">
        <v>170487</v>
      </c>
      <c r="E111" s="289" t="s">
        <v>441</v>
      </c>
      <c r="F111" s="396" t="s">
        <v>490</v>
      </c>
      <c r="G111" s="289" t="s">
        <v>727</v>
      </c>
      <c r="H111" s="461" t="s">
        <v>696</v>
      </c>
      <c r="I111" s="289" t="s">
        <v>135</v>
      </c>
      <c r="J111" s="289" t="s">
        <v>295</v>
      </c>
      <c r="K111" s="289" t="s">
        <v>589</v>
      </c>
      <c r="L111" s="524" t="s">
        <v>364</v>
      </c>
      <c r="M111" s="273">
        <v>5</v>
      </c>
      <c r="N111" s="395">
        <v>4</v>
      </c>
      <c r="O111" s="395">
        <v>4</v>
      </c>
      <c r="P111" s="395">
        <v>1</v>
      </c>
    </row>
    <row r="112" spans="1:48" s="5" customFormat="1" ht="51" customHeight="1" thickBot="1">
      <c r="A112" s="495" t="s">
        <v>728</v>
      </c>
      <c r="B112" s="394">
        <v>45782</v>
      </c>
      <c r="C112" s="289">
        <f ca="1">_xlfn.DAYS(TODAY(),B112)</f>
        <v>303</v>
      </c>
      <c r="D112" s="289">
        <v>168614</v>
      </c>
      <c r="E112" s="549" t="s">
        <v>502</v>
      </c>
      <c r="F112" s="374" t="s">
        <v>503</v>
      </c>
      <c r="G112" s="438" t="s">
        <v>729</v>
      </c>
      <c r="H112" s="400" t="s">
        <v>713</v>
      </c>
      <c r="I112" s="289" t="s">
        <v>149</v>
      </c>
      <c r="J112" s="289" t="s">
        <v>330</v>
      </c>
      <c r="K112" s="392" t="s">
        <v>730</v>
      </c>
      <c r="L112" s="645" t="s">
        <v>731</v>
      </c>
      <c r="M112" s="289">
        <v>18</v>
      </c>
      <c r="N112" s="395">
        <v>4</v>
      </c>
      <c r="O112" s="395">
        <v>4</v>
      </c>
      <c r="P112" s="395">
        <v>1</v>
      </c>
      <c r="Q112" s="1"/>
      <c r="R112" s="1"/>
      <c r="S112" s="1"/>
      <c r="T112" s="1"/>
      <c r="U112" s="1"/>
      <c r="V112" s="1"/>
      <c r="W112" s="1"/>
      <c r="X112" s="1"/>
      <c r="Y112" s="1"/>
      <c r="Z112" s="1"/>
      <c r="AA112" s="1"/>
      <c r="AB112" s="1"/>
      <c r="AC112" s="1"/>
      <c r="AD112" s="1"/>
      <c r="AE112" s="1"/>
      <c r="AF112" s="1"/>
      <c r="AG112" s="1"/>
      <c r="AH112" s="1"/>
      <c r="AI112" s="1"/>
      <c r="AJ112" s="1"/>
      <c r="AK112" s="1"/>
    </row>
    <row r="113" spans="1:37" ht="18.75" customHeight="1" thickBot="1">
      <c r="A113" s="470" t="s">
        <v>710</v>
      </c>
      <c r="B113" s="872" t="s">
        <v>92</v>
      </c>
      <c r="C113" s="873"/>
      <c r="D113" s="873"/>
      <c r="E113" s="874"/>
      <c r="F113" s="460"/>
      <c r="G113" s="460"/>
      <c r="H113" s="462"/>
      <c r="I113" s="330"/>
      <c r="J113" s="330"/>
      <c r="K113" s="329"/>
      <c r="L113" s="331"/>
      <c r="M113" s="403"/>
      <c r="N113" s="448">
        <f>SUM(N114:N116)</f>
        <v>12.25</v>
      </c>
      <c r="O113" s="448">
        <f>SUM(O114:O116)</f>
        <v>12.25</v>
      </c>
      <c r="P113" s="448">
        <f>SUM(P114:P116)</f>
        <v>3</v>
      </c>
    </row>
    <row r="114" spans="1:37" s="5" customFormat="1" ht="51" customHeight="1">
      <c r="A114" s="495" t="s">
        <v>732</v>
      </c>
      <c r="B114" s="394">
        <v>45782</v>
      </c>
      <c r="C114" s="289">
        <f ca="1">_xlfn.DAYS(TODAY(),B114)</f>
        <v>303</v>
      </c>
      <c r="D114" s="289">
        <v>168614</v>
      </c>
      <c r="E114" s="549" t="s">
        <v>502</v>
      </c>
      <c r="F114" s="374" t="s">
        <v>503</v>
      </c>
      <c r="G114" s="438" t="s">
        <v>733</v>
      </c>
      <c r="H114" s="400" t="s">
        <v>713</v>
      </c>
      <c r="I114" s="289" t="s">
        <v>149</v>
      </c>
      <c r="J114" s="289" t="s">
        <v>330</v>
      </c>
      <c r="K114" s="392" t="s">
        <v>730</v>
      </c>
      <c r="L114" s="645" t="s">
        <v>734</v>
      </c>
      <c r="M114" s="289">
        <v>11</v>
      </c>
      <c r="N114" s="395">
        <v>5</v>
      </c>
      <c r="O114" s="395">
        <v>5</v>
      </c>
      <c r="P114" s="395">
        <v>1</v>
      </c>
      <c r="Q114" s="1"/>
      <c r="R114" s="1"/>
      <c r="S114" s="1"/>
      <c r="T114" s="1"/>
      <c r="U114" s="1"/>
      <c r="V114" s="1"/>
      <c r="W114" s="1"/>
      <c r="X114" s="1"/>
      <c r="Y114" s="1"/>
      <c r="Z114" s="1"/>
      <c r="AA114" s="1"/>
      <c r="AB114" s="1"/>
      <c r="AC114" s="1"/>
      <c r="AD114" s="1"/>
      <c r="AE114" s="1"/>
      <c r="AF114" s="1"/>
      <c r="AG114" s="1"/>
      <c r="AH114" s="1"/>
      <c r="AI114" s="1"/>
      <c r="AJ114" s="1"/>
      <c r="AK114" s="1"/>
    </row>
    <row r="115" spans="1:37" s="5" customFormat="1" ht="60.75" customHeight="1">
      <c r="A115" s="558" t="s">
        <v>735</v>
      </c>
      <c r="B115" s="394">
        <v>45793</v>
      </c>
      <c r="C115" s="289">
        <f ca="1">_xlfn.DAYS(TODAY(),B115)</f>
        <v>292</v>
      </c>
      <c r="D115" s="465">
        <v>170593</v>
      </c>
      <c r="E115" s="289" t="s">
        <v>521</v>
      </c>
      <c r="F115" s="396" t="s">
        <v>625</v>
      </c>
      <c r="G115" s="289" t="s">
        <v>736</v>
      </c>
      <c r="H115" s="545" t="s">
        <v>707</v>
      </c>
      <c r="I115" s="289" t="s">
        <v>723</v>
      </c>
      <c r="J115" s="465" t="s">
        <v>353</v>
      </c>
      <c r="K115" s="289" t="s">
        <v>724</v>
      </c>
      <c r="L115" s="753" t="s">
        <v>737</v>
      </c>
      <c r="M115" s="464">
        <v>8</v>
      </c>
      <c r="N115" s="544">
        <v>7</v>
      </c>
      <c r="O115" s="395">
        <v>7</v>
      </c>
      <c r="P115" s="395">
        <v>1</v>
      </c>
      <c r="Q115" s="1"/>
      <c r="R115" s="1"/>
      <c r="S115" s="1"/>
      <c r="T115" s="1"/>
      <c r="U115" s="1"/>
      <c r="V115" s="1"/>
      <c r="W115" s="1"/>
      <c r="X115" s="1"/>
      <c r="Y115" s="1"/>
      <c r="Z115" s="1"/>
      <c r="AA115" s="1"/>
      <c r="AB115" s="1"/>
      <c r="AC115" s="1"/>
      <c r="AD115" s="1"/>
      <c r="AE115" s="1"/>
      <c r="AF115" s="1"/>
      <c r="AG115" s="1"/>
      <c r="AH115" s="1"/>
      <c r="AI115" s="1"/>
      <c r="AJ115" s="1"/>
      <c r="AK115" s="1"/>
    </row>
    <row r="116" spans="1:37" ht="55.9" customHeight="1">
      <c r="A116" s="289" t="s">
        <v>738</v>
      </c>
      <c r="B116" s="408">
        <v>45784</v>
      </c>
      <c r="C116" s="289">
        <f ca="1">_xlfn.DAYS(TODAY(),B116)</f>
        <v>301</v>
      </c>
      <c r="D116" s="400" t="s">
        <v>574</v>
      </c>
      <c r="E116" s="289" t="s">
        <v>521</v>
      </c>
      <c r="F116" s="396" t="s">
        <v>575</v>
      </c>
      <c r="G116" s="289" t="s">
        <v>739</v>
      </c>
      <c r="H116" s="400" t="s">
        <v>651</v>
      </c>
      <c r="I116" s="464" t="s">
        <v>723</v>
      </c>
      <c r="J116" s="289" t="s">
        <v>353</v>
      </c>
      <c r="K116" s="429" t="s">
        <v>589</v>
      </c>
      <c r="L116" s="645" t="s">
        <v>740</v>
      </c>
      <c r="M116" s="663">
        <v>15</v>
      </c>
      <c r="N116" s="395">
        <v>0.25</v>
      </c>
      <c r="O116" s="395">
        <v>0.25</v>
      </c>
      <c r="P116" s="395">
        <v>1</v>
      </c>
    </row>
    <row r="117" spans="1:37" s="27" customFormat="1" ht="21" customHeight="1">
      <c r="A117" s="5"/>
      <c r="B117" s="5"/>
      <c r="C117" s="5"/>
      <c r="D117" s="5"/>
      <c r="E117" s="5"/>
      <c r="F117" s="5"/>
      <c r="G117" s="5"/>
      <c r="H117" s="5"/>
      <c r="I117" s="5"/>
      <c r="J117" s="5"/>
      <c r="K117" s="5"/>
      <c r="L117" s="5"/>
      <c r="M117" s="5"/>
      <c r="N117" s="5"/>
      <c r="O117" s="5"/>
      <c r="P117" s="5"/>
    </row>
    <row r="118" spans="1:37">
      <c r="F118" s="30"/>
      <c r="K118" s="1"/>
      <c r="L118" s="1"/>
      <c r="M118" s="1"/>
    </row>
    <row r="119" spans="1:37">
      <c r="F119" s="30"/>
      <c r="K119" s="1"/>
      <c r="L119" s="1"/>
      <c r="M119" s="1"/>
    </row>
    <row r="120" spans="1:37">
      <c r="F120" s="30"/>
      <c r="K120" s="1"/>
      <c r="M120" s="1"/>
    </row>
    <row r="121" spans="1:37">
      <c r="A121" s="2"/>
      <c r="B121" s="1"/>
      <c r="C121" s="1"/>
      <c r="D121" s="1"/>
      <c r="E121" s="1"/>
      <c r="F121" s="30"/>
      <c r="I121" s="1"/>
      <c r="J121" s="1"/>
      <c r="K121" s="1"/>
      <c r="L121" s="1"/>
      <c r="M121" s="1"/>
    </row>
    <row r="122" spans="1:37">
      <c r="A122" s="2"/>
      <c r="B122" s="1"/>
      <c r="C122" s="1"/>
      <c r="D122" s="1"/>
      <c r="E122" s="1"/>
      <c r="F122" s="30"/>
      <c r="I122" s="1"/>
      <c r="J122" s="1"/>
      <c r="K122" s="1"/>
      <c r="L122" s="1"/>
      <c r="M122" s="1"/>
    </row>
    <row r="123" spans="1:37">
      <c r="A123" s="2"/>
      <c r="B123" s="1"/>
      <c r="C123" s="1"/>
      <c r="D123" s="1"/>
      <c r="E123" s="1"/>
      <c r="F123" s="30"/>
      <c r="I123" s="1"/>
      <c r="J123" s="1"/>
      <c r="K123" s="1"/>
      <c r="L123" s="1"/>
      <c r="M123" s="1"/>
    </row>
    <row r="124" spans="1:37">
      <c r="A124" s="2"/>
      <c r="B124" s="1"/>
      <c r="C124" s="1"/>
      <c r="D124" s="1"/>
      <c r="E124" s="1"/>
      <c r="F124" s="30"/>
      <c r="I124" s="1"/>
      <c r="J124" s="1"/>
      <c r="K124" s="1"/>
      <c r="L124" s="1"/>
      <c r="M124" s="1"/>
    </row>
    <row r="125" spans="1:37">
      <c r="A125" s="2"/>
      <c r="B125" s="1"/>
      <c r="C125" s="1"/>
      <c r="D125" s="1"/>
      <c r="E125" s="1"/>
      <c r="F125" s="30"/>
      <c r="I125" s="1"/>
      <c r="J125" s="1"/>
      <c r="K125" s="1"/>
      <c r="L125" s="1"/>
      <c r="M125" s="1"/>
    </row>
    <row r="126" spans="1:37">
      <c r="A126" s="2"/>
      <c r="B126" s="1"/>
      <c r="C126" s="1"/>
      <c r="D126" s="1"/>
      <c r="E126" s="1"/>
      <c r="F126" s="30"/>
      <c r="I126" s="1"/>
      <c r="J126" s="1"/>
      <c r="K126" s="1"/>
      <c r="L126" s="1"/>
      <c r="M126" s="1"/>
      <c r="N126" s="1"/>
      <c r="O126" s="1"/>
      <c r="P126" s="1"/>
    </row>
    <row r="127" spans="1:37" ht="15">
      <c r="A127" s="2"/>
      <c r="B127" s="1"/>
      <c r="C127" s="1"/>
      <c r="D127" s="353"/>
      <c r="E127" s="1"/>
      <c r="F127" s="30"/>
      <c r="I127" s="1"/>
      <c r="J127" s="1"/>
      <c r="K127" s="1"/>
      <c r="L127" s="1"/>
      <c r="M127" s="1"/>
      <c r="N127" s="1"/>
      <c r="O127" s="1"/>
      <c r="P127" s="1"/>
    </row>
    <row r="128" spans="1:37">
      <c r="A128" s="2"/>
      <c r="B128" s="1"/>
      <c r="C128" s="1"/>
      <c r="D128" s="1"/>
      <c r="E128" s="1"/>
      <c r="F128" s="30"/>
      <c r="I128" s="1"/>
      <c r="J128" s="1"/>
      <c r="K128" s="1"/>
      <c r="L128" s="1"/>
      <c r="M128" s="1"/>
      <c r="N128" s="1"/>
      <c r="O128" s="1"/>
      <c r="P128" s="1"/>
    </row>
    <row r="129" spans="1:16">
      <c r="A129" s="2"/>
      <c r="B129" s="1"/>
      <c r="C129" s="1"/>
      <c r="D129" s="1"/>
      <c r="E129" s="1"/>
      <c r="F129" s="30"/>
      <c r="I129" s="1"/>
      <c r="J129" s="1"/>
      <c r="K129" s="1"/>
      <c r="L129" s="1"/>
      <c r="M129" s="1"/>
      <c r="N129" s="1"/>
      <c r="O129" s="1"/>
      <c r="P129" s="1"/>
    </row>
    <row r="130" spans="1:16">
      <c r="A130" s="2"/>
      <c r="B130" s="1"/>
      <c r="C130" s="1"/>
      <c r="D130" s="1"/>
      <c r="E130" s="1"/>
      <c r="F130" s="30"/>
      <c r="I130" s="1"/>
      <c r="J130" s="1"/>
      <c r="K130" s="1"/>
      <c r="L130" s="1"/>
      <c r="M130" s="1"/>
      <c r="N130" s="1"/>
      <c r="O130" s="1"/>
      <c r="P130" s="1"/>
    </row>
    <row r="131" spans="1:16">
      <c r="A131" s="2"/>
      <c r="B131" s="1"/>
      <c r="C131" s="1"/>
      <c r="D131" s="1"/>
      <c r="E131" s="1"/>
      <c r="F131" s="30"/>
      <c r="I131" s="1"/>
      <c r="J131" s="1"/>
      <c r="K131" s="1"/>
      <c r="L131" s="1"/>
      <c r="M131" s="1"/>
      <c r="N131" s="1"/>
      <c r="O131" s="1"/>
      <c r="P131" s="1"/>
    </row>
    <row r="132" spans="1:16">
      <c r="A132" s="2"/>
      <c r="B132" s="1"/>
      <c r="C132" s="1"/>
      <c r="D132" s="1"/>
      <c r="E132" s="1"/>
      <c r="F132" s="30"/>
      <c r="I132" s="1"/>
      <c r="J132" s="1"/>
      <c r="K132" s="1"/>
      <c r="L132" s="1"/>
      <c r="M132" s="1"/>
      <c r="N132" s="1"/>
      <c r="O132" s="1"/>
      <c r="P132" s="1"/>
    </row>
    <row r="133" spans="1:16">
      <c r="A133" s="2"/>
      <c r="B133" s="1"/>
      <c r="C133" s="1"/>
      <c r="D133" s="1"/>
      <c r="E133" s="1"/>
      <c r="F133" s="30"/>
      <c r="I133" s="1"/>
      <c r="J133" s="1"/>
      <c r="K133" s="1"/>
      <c r="L133" s="1"/>
      <c r="M133" s="1"/>
      <c r="N133" s="1"/>
      <c r="O133" s="1"/>
      <c r="P133" s="1"/>
    </row>
    <row r="134" spans="1:16">
      <c r="A134" s="2"/>
      <c r="B134" s="1"/>
      <c r="C134" s="1"/>
      <c r="D134" s="1"/>
      <c r="E134" s="1"/>
      <c r="F134" s="30"/>
      <c r="I134" s="1"/>
      <c r="J134" s="1"/>
      <c r="N134" s="1"/>
      <c r="O134" s="1"/>
      <c r="P134" s="1"/>
    </row>
    <row r="135" spans="1:16">
      <c r="A135" s="2"/>
      <c r="B135" s="1"/>
      <c r="C135" s="1"/>
      <c r="D135" s="1"/>
      <c r="E135" s="1"/>
      <c r="F135" s="30"/>
      <c r="I135" s="1"/>
      <c r="J135" s="1"/>
      <c r="N135" s="1"/>
      <c r="O135" s="1"/>
      <c r="P135" s="1"/>
    </row>
    <row r="136" spans="1:16">
      <c r="A136" s="2"/>
      <c r="B136" s="1"/>
      <c r="C136" s="1"/>
      <c r="D136" s="1"/>
      <c r="E136" s="1"/>
      <c r="F136" s="30"/>
      <c r="I136" s="1"/>
      <c r="J136" s="1"/>
      <c r="N136" s="1"/>
      <c r="O136" s="1"/>
      <c r="P136" s="1"/>
    </row>
    <row r="137" spans="1:16">
      <c r="A137" s="2"/>
      <c r="B137" s="1"/>
      <c r="C137" s="1"/>
      <c r="D137" s="1"/>
      <c r="E137" s="1"/>
      <c r="F137" s="30"/>
      <c r="I137" s="1"/>
      <c r="K137" s="1"/>
      <c r="L137" s="1"/>
      <c r="M137" s="1"/>
      <c r="N137" s="1"/>
      <c r="O137" s="1"/>
      <c r="P137" s="1"/>
    </row>
    <row r="138" spans="1:16">
      <c r="A138" s="2"/>
      <c r="B138" s="1"/>
      <c r="C138" s="1"/>
      <c r="D138" s="1"/>
      <c r="E138" s="1"/>
      <c r="F138" s="30"/>
      <c r="I138" s="1"/>
      <c r="K138" s="1"/>
      <c r="L138" s="1"/>
      <c r="M138" s="1"/>
      <c r="N138" s="1"/>
      <c r="O138" s="1"/>
      <c r="P138" s="1"/>
    </row>
    <row r="139" spans="1:16">
      <c r="A139" s="2"/>
      <c r="B139" s="1"/>
      <c r="C139" s="1"/>
      <c r="D139" s="1"/>
      <c r="E139" s="1"/>
      <c r="F139" s="30"/>
      <c r="I139" s="1"/>
      <c r="K139" s="1"/>
      <c r="L139" s="1"/>
      <c r="M139" s="1"/>
      <c r="N139" s="1"/>
      <c r="O139" s="1"/>
      <c r="P139" s="1"/>
    </row>
    <row r="140" spans="1:16">
      <c r="A140" s="2"/>
      <c r="B140" s="1"/>
      <c r="C140" s="1"/>
      <c r="D140" s="1"/>
      <c r="E140" s="1"/>
      <c r="F140" s="30"/>
      <c r="I140" s="1"/>
      <c r="J140" s="1"/>
      <c r="K140" s="1"/>
      <c r="L140" s="1"/>
      <c r="M140" s="1"/>
      <c r="N140" s="1"/>
      <c r="O140" s="1"/>
      <c r="P140" s="1"/>
    </row>
    <row r="141" spans="1:16">
      <c r="A141" s="2"/>
      <c r="B141" s="1"/>
      <c r="C141" s="1"/>
      <c r="D141" s="1"/>
      <c r="E141" s="1"/>
      <c r="F141" s="30"/>
      <c r="I141" s="1"/>
      <c r="J141" s="1"/>
      <c r="K141" s="1"/>
      <c r="L141" s="1"/>
      <c r="M141" s="1"/>
      <c r="N141" s="1"/>
      <c r="O141" s="1"/>
      <c r="P141" s="1"/>
    </row>
    <row r="142" spans="1:16">
      <c r="A142" s="2"/>
      <c r="B142" s="1"/>
      <c r="C142" s="1"/>
      <c r="D142" s="1"/>
      <c r="E142" s="1"/>
      <c r="F142" s="30"/>
      <c r="I142" s="1"/>
      <c r="J142" s="1"/>
      <c r="K142" s="1"/>
      <c r="L142" s="1"/>
      <c r="M142" s="1"/>
      <c r="N142" s="1"/>
      <c r="O142" s="1"/>
      <c r="P142" s="1"/>
    </row>
    <row r="143" spans="1:16">
      <c r="A143" s="2"/>
      <c r="B143" s="1"/>
      <c r="C143" s="1"/>
      <c r="D143" s="1"/>
      <c r="E143" s="1"/>
      <c r="F143" s="30"/>
      <c r="I143" s="1"/>
      <c r="J143" s="1"/>
      <c r="K143" s="1"/>
      <c r="L143" s="1"/>
      <c r="M143" s="1"/>
      <c r="N143" s="1"/>
      <c r="O143" s="1"/>
      <c r="P143" s="1"/>
    </row>
    <row r="144" spans="1:16">
      <c r="A144" s="2"/>
      <c r="B144" s="1"/>
      <c r="C144" s="1"/>
      <c r="D144" s="1"/>
      <c r="E144" s="1"/>
      <c r="F144" s="30"/>
      <c r="I144" s="1"/>
      <c r="J144" s="1"/>
      <c r="K144" s="1"/>
      <c r="L144" s="1"/>
      <c r="M144" s="1"/>
      <c r="N144" s="1"/>
      <c r="O144" s="1"/>
      <c r="P144" s="1"/>
    </row>
    <row r="145" spans="1:16">
      <c r="A145" s="2"/>
      <c r="B145" s="1"/>
      <c r="C145" s="1"/>
      <c r="D145" s="1"/>
      <c r="E145" s="1"/>
      <c r="F145" s="30"/>
      <c r="I145" s="1"/>
      <c r="J145" s="1"/>
      <c r="K145" s="1"/>
      <c r="L145" s="1"/>
      <c r="M145" s="1"/>
      <c r="N145" s="1"/>
      <c r="O145" s="1"/>
      <c r="P145" s="1"/>
    </row>
    <row r="146" spans="1:16">
      <c r="A146" s="2"/>
      <c r="B146" s="1"/>
      <c r="C146" s="1"/>
      <c r="D146" s="1"/>
      <c r="E146" s="1"/>
      <c r="F146" s="30"/>
      <c r="I146" s="1"/>
      <c r="J146" s="1"/>
      <c r="K146" s="1"/>
      <c r="L146" s="1"/>
      <c r="M146" s="1"/>
      <c r="N146" s="1"/>
      <c r="O146" s="1"/>
      <c r="P146" s="1"/>
    </row>
    <row r="147" spans="1:16">
      <c r="A147" s="2"/>
      <c r="B147" s="1"/>
      <c r="C147" s="1"/>
      <c r="D147" s="1"/>
      <c r="E147" s="1"/>
      <c r="F147" s="30"/>
      <c r="I147" s="1"/>
      <c r="J147" s="1"/>
      <c r="K147" s="1"/>
      <c r="L147" s="1"/>
      <c r="M147" s="1"/>
      <c r="N147" s="1"/>
      <c r="O147" s="1"/>
      <c r="P147" s="1"/>
    </row>
    <row r="148" spans="1:16">
      <c r="A148" s="2"/>
      <c r="B148" s="1"/>
      <c r="C148" s="1"/>
      <c r="D148" s="1"/>
      <c r="E148" s="1"/>
      <c r="F148" s="30"/>
      <c r="I148" s="1"/>
      <c r="J148" s="1"/>
      <c r="K148" s="1"/>
      <c r="L148" s="1"/>
      <c r="M148" s="1"/>
      <c r="N148" s="1"/>
      <c r="O148" s="1"/>
      <c r="P148" s="1"/>
    </row>
    <row r="149" spans="1:16">
      <c r="A149" s="2"/>
      <c r="B149" s="1"/>
      <c r="C149" s="1"/>
      <c r="D149" s="1"/>
      <c r="E149" s="1"/>
      <c r="F149" s="30"/>
      <c r="I149" s="1"/>
      <c r="J149" s="1"/>
      <c r="K149" s="1"/>
      <c r="L149" s="1"/>
      <c r="M149" s="1"/>
      <c r="N149" s="1"/>
      <c r="O149" s="1"/>
      <c r="P149" s="1"/>
    </row>
    <row r="150" spans="1:16">
      <c r="A150" s="2"/>
      <c r="B150" s="1"/>
      <c r="C150" s="1"/>
      <c r="D150" s="1"/>
      <c r="E150" s="1"/>
      <c r="F150" s="30"/>
      <c r="I150" s="1"/>
      <c r="J150" s="1"/>
      <c r="K150" s="1"/>
      <c r="L150" s="1"/>
      <c r="M150" s="1"/>
      <c r="N150" s="1"/>
      <c r="O150" s="1"/>
      <c r="P150" s="1"/>
    </row>
    <row r="151" spans="1:16">
      <c r="A151" s="2"/>
      <c r="B151" s="1"/>
      <c r="C151" s="1"/>
      <c r="D151" s="1"/>
      <c r="E151" s="1"/>
      <c r="F151" s="30"/>
      <c r="I151" s="1"/>
      <c r="J151" s="1"/>
      <c r="K151" s="1"/>
      <c r="L151" s="1"/>
      <c r="M151" s="1"/>
      <c r="N151" s="1"/>
      <c r="O151" s="1"/>
      <c r="P151" s="1"/>
    </row>
    <row r="152" spans="1:16">
      <c r="A152" s="2"/>
      <c r="B152" s="1"/>
      <c r="C152" s="1"/>
      <c r="D152" s="1"/>
      <c r="E152" s="1"/>
      <c r="F152" s="30"/>
      <c r="I152" s="1"/>
      <c r="J152" s="1"/>
      <c r="K152" s="1"/>
      <c r="L152" s="1"/>
      <c r="M152" s="1"/>
      <c r="N152" s="1"/>
      <c r="O152" s="1"/>
      <c r="P152" s="1"/>
    </row>
    <row r="153" spans="1:16">
      <c r="A153" s="2"/>
      <c r="B153" s="1"/>
      <c r="C153" s="1"/>
      <c r="D153" s="1"/>
      <c r="E153" s="1"/>
      <c r="F153" s="30"/>
      <c r="I153" s="1"/>
      <c r="J153" s="1"/>
      <c r="K153" s="1"/>
      <c r="L153" s="1"/>
      <c r="M153" s="1"/>
      <c r="N153" s="1"/>
      <c r="O153" s="1"/>
      <c r="P153" s="1"/>
    </row>
    <row r="154" spans="1:16">
      <c r="A154" s="2"/>
      <c r="B154" s="1"/>
      <c r="C154" s="1"/>
      <c r="D154" s="1"/>
      <c r="E154" s="1"/>
      <c r="F154" s="30"/>
      <c r="I154" s="1"/>
      <c r="J154" s="1"/>
      <c r="K154" s="1"/>
      <c r="L154" s="1"/>
      <c r="M154" s="1"/>
      <c r="N154" s="1"/>
      <c r="O154" s="1"/>
      <c r="P154" s="1"/>
    </row>
    <row r="155" spans="1:16">
      <c r="A155" s="2"/>
      <c r="B155" s="1"/>
      <c r="C155" s="1"/>
      <c r="D155" s="1"/>
      <c r="E155" s="1"/>
      <c r="F155" s="30"/>
      <c r="I155" s="1"/>
      <c r="J155" s="1"/>
      <c r="K155" s="1"/>
      <c r="L155" s="1"/>
      <c r="M155" s="1"/>
      <c r="N155" s="1"/>
      <c r="O155" s="1"/>
      <c r="P155" s="1"/>
    </row>
    <row r="156" spans="1:16">
      <c r="A156" s="2"/>
      <c r="B156" s="1"/>
      <c r="C156" s="1"/>
      <c r="D156" s="1"/>
      <c r="E156" s="1"/>
      <c r="F156" s="30"/>
      <c r="I156" s="1"/>
      <c r="J156" s="1"/>
      <c r="K156" s="1"/>
      <c r="L156" s="1"/>
      <c r="M156" s="1"/>
      <c r="N156" s="1"/>
      <c r="O156" s="1"/>
      <c r="P156" s="1"/>
    </row>
    <row r="157" spans="1:16">
      <c r="A157" s="2"/>
      <c r="B157" s="1"/>
      <c r="C157" s="1"/>
      <c r="D157" s="1"/>
      <c r="E157" s="1"/>
      <c r="F157" s="30"/>
      <c r="I157" s="1"/>
      <c r="J157" s="1"/>
      <c r="K157" s="1"/>
      <c r="L157" s="1"/>
      <c r="M157" s="1"/>
      <c r="N157" s="1"/>
      <c r="O157" s="1"/>
      <c r="P157" s="1"/>
    </row>
    <row r="158" spans="1:16">
      <c r="A158" s="2"/>
      <c r="B158" s="1"/>
      <c r="C158" s="1"/>
      <c r="D158" s="1"/>
      <c r="E158" s="1"/>
      <c r="F158" s="30"/>
      <c r="I158" s="1"/>
      <c r="J158" s="1"/>
      <c r="K158" s="1"/>
      <c r="L158" s="1"/>
      <c r="M158" s="1"/>
      <c r="N158" s="1"/>
      <c r="O158" s="1"/>
      <c r="P158" s="1"/>
    </row>
    <row r="159" spans="1:16">
      <c r="A159" s="2"/>
      <c r="B159" s="1"/>
      <c r="C159" s="1"/>
      <c r="D159" s="1"/>
      <c r="E159" s="1"/>
      <c r="F159" s="30"/>
      <c r="I159" s="1"/>
      <c r="J159" s="1"/>
      <c r="K159" s="1"/>
      <c r="L159" s="1"/>
      <c r="M159" s="1"/>
      <c r="N159" s="1"/>
      <c r="O159" s="1"/>
      <c r="P159" s="1"/>
    </row>
    <row r="160" spans="1:16">
      <c r="A160" s="2"/>
      <c r="B160" s="1"/>
      <c r="C160" s="1"/>
      <c r="D160" s="1"/>
      <c r="E160" s="1"/>
      <c r="F160" s="30"/>
      <c r="I160" s="1"/>
      <c r="J160" s="1"/>
      <c r="K160" s="1"/>
      <c r="L160" s="1"/>
      <c r="M160" s="1"/>
      <c r="N160" s="1"/>
      <c r="O160" s="1"/>
      <c r="P160" s="1"/>
    </row>
    <row r="161" spans="1:16">
      <c r="A161" s="2"/>
      <c r="B161" s="1"/>
      <c r="C161" s="1"/>
      <c r="D161" s="1"/>
      <c r="E161" s="1"/>
      <c r="F161" s="30"/>
      <c r="I161" s="1"/>
      <c r="J161" s="1"/>
      <c r="K161" s="1"/>
      <c r="L161" s="1"/>
      <c r="M161" s="1"/>
      <c r="N161" s="1"/>
      <c r="O161" s="1"/>
      <c r="P161" s="1"/>
    </row>
    <row r="162" spans="1:16">
      <c r="A162" s="2"/>
      <c r="B162" s="1"/>
      <c r="C162" s="1"/>
      <c r="D162" s="1"/>
      <c r="E162" s="1"/>
      <c r="F162" s="30"/>
      <c r="I162" s="1"/>
      <c r="J162" s="1"/>
      <c r="K162" s="1"/>
      <c r="L162" s="1"/>
      <c r="M162" s="1"/>
      <c r="N162" s="1"/>
      <c r="O162" s="1"/>
      <c r="P162" s="1"/>
    </row>
    <row r="163" spans="1:16">
      <c r="A163" s="2"/>
      <c r="B163" s="1"/>
      <c r="C163" s="1"/>
      <c r="D163" s="1"/>
      <c r="E163" s="1"/>
      <c r="F163" s="30"/>
      <c r="I163" s="1"/>
      <c r="J163" s="1"/>
      <c r="K163" s="1"/>
      <c r="L163" s="1"/>
      <c r="M163" s="1"/>
      <c r="N163" s="1"/>
      <c r="O163" s="1"/>
      <c r="P163" s="1"/>
    </row>
    <row r="164" spans="1:16">
      <c r="A164" s="2"/>
      <c r="B164" s="1"/>
      <c r="C164" s="1"/>
      <c r="D164" s="1"/>
      <c r="E164" s="1"/>
      <c r="F164" s="30"/>
      <c r="I164" s="1"/>
      <c r="J164" s="1"/>
      <c r="K164" s="1"/>
      <c r="L164" s="1"/>
      <c r="M164" s="1"/>
      <c r="N164" s="1"/>
      <c r="O164" s="1"/>
      <c r="P164" s="1"/>
    </row>
    <row r="165" spans="1:16">
      <c r="A165" s="2"/>
      <c r="B165" s="1"/>
      <c r="C165" s="1"/>
      <c r="D165" s="1"/>
      <c r="E165" s="1"/>
      <c r="F165" s="30"/>
      <c r="I165" s="1"/>
      <c r="J165" s="1"/>
      <c r="K165" s="1"/>
      <c r="L165" s="1"/>
      <c r="M165" s="1"/>
      <c r="N165" s="1"/>
      <c r="O165" s="1"/>
      <c r="P165" s="1"/>
    </row>
    <row r="166" spans="1:16">
      <c r="A166" s="2"/>
      <c r="B166" s="1"/>
      <c r="C166" s="1"/>
      <c r="D166" s="1"/>
      <c r="E166" s="1"/>
      <c r="F166" s="30"/>
      <c r="I166" s="1"/>
      <c r="J166" s="1"/>
      <c r="K166" s="1"/>
      <c r="L166" s="1"/>
      <c r="M166" s="1"/>
      <c r="N166" s="1"/>
      <c r="O166" s="1"/>
      <c r="P166" s="1"/>
    </row>
    <row r="167" spans="1:16">
      <c r="A167" s="2"/>
      <c r="B167" s="1"/>
      <c r="C167" s="1"/>
      <c r="D167" s="1"/>
      <c r="E167" s="1"/>
      <c r="F167" s="30"/>
      <c r="I167" s="1"/>
      <c r="J167" s="1"/>
      <c r="K167" s="1"/>
      <c r="L167" s="1"/>
      <c r="M167" s="1"/>
      <c r="N167" s="1"/>
      <c r="O167" s="1"/>
      <c r="P167" s="1"/>
    </row>
    <row r="168" spans="1:16">
      <c r="A168" s="2"/>
      <c r="B168" s="1"/>
      <c r="C168" s="1"/>
      <c r="D168" s="1"/>
      <c r="E168" s="1"/>
      <c r="F168" s="30"/>
      <c r="I168" s="1"/>
      <c r="J168" s="1"/>
      <c r="K168" s="1"/>
      <c r="L168" s="1"/>
      <c r="M168" s="1"/>
      <c r="N168" s="1"/>
      <c r="O168" s="1"/>
      <c r="P168" s="1"/>
    </row>
    <row r="169" spans="1:16">
      <c r="A169" s="2"/>
      <c r="B169" s="1"/>
      <c r="C169" s="1"/>
      <c r="D169" s="1"/>
      <c r="E169" s="1"/>
      <c r="F169" s="30"/>
      <c r="I169" s="1"/>
      <c r="J169" s="1"/>
      <c r="K169" s="1"/>
      <c r="L169" s="1"/>
      <c r="M169" s="1"/>
      <c r="N169" s="1"/>
      <c r="O169" s="1"/>
      <c r="P169" s="1"/>
    </row>
    <row r="170" spans="1:16">
      <c r="A170" s="2"/>
      <c r="B170" s="1"/>
      <c r="C170" s="1"/>
      <c r="D170" s="1"/>
      <c r="E170" s="1"/>
      <c r="F170" s="30"/>
      <c r="I170" s="1"/>
      <c r="J170" s="1"/>
      <c r="K170" s="1"/>
      <c r="L170" s="1"/>
      <c r="M170" s="1"/>
      <c r="N170" s="1"/>
      <c r="O170" s="1"/>
      <c r="P170" s="1"/>
    </row>
    <row r="171" spans="1:16">
      <c r="A171" s="2"/>
      <c r="B171" s="1"/>
      <c r="C171" s="1"/>
      <c r="D171" s="1"/>
      <c r="E171" s="1"/>
      <c r="F171" s="30"/>
      <c r="I171" s="1"/>
      <c r="J171" s="1"/>
      <c r="K171" s="1"/>
      <c r="L171" s="1"/>
      <c r="M171" s="1"/>
      <c r="N171" s="1"/>
      <c r="O171" s="1"/>
      <c r="P171" s="1"/>
    </row>
    <row r="172" spans="1:16">
      <c r="A172" s="2"/>
      <c r="B172" s="1"/>
      <c r="C172" s="1"/>
      <c r="D172" s="1"/>
      <c r="E172" s="1"/>
      <c r="F172" s="30"/>
      <c r="I172" s="1"/>
      <c r="J172" s="1"/>
      <c r="K172" s="1"/>
      <c r="L172" s="1"/>
      <c r="M172" s="1"/>
      <c r="N172" s="1"/>
      <c r="O172" s="1"/>
      <c r="P172" s="1"/>
    </row>
    <row r="173" spans="1:16">
      <c r="A173" s="2"/>
      <c r="B173" s="1"/>
      <c r="C173" s="1"/>
      <c r="D173" s="1"/>
      <c r="E173" s="1"/>
      <c r="F173" s="30"/>
      <c r="I173" s="1"/>
      <c r="J173" s="1"/>
      <c r="K173" s="1"/>
      <c r="L173" s="1"/>
      <c r="M173" s="1"/>
      <c r="N173" s="1"/>
      <c r="O173" s="1"/>
      <c r="P173" s="1"/>
    </row>
    <row r="174" spans="1:16">
      <c r="A174" s="2"/>
      <c r="B174" s="1"/>
      <c r="C174" s="1"/>
      <c r="D174" s="1"/>
      <c r="E174" s="1"/>
      <c r="F174" s="30"/>
      <c r="I174" s="1"/>
      <c r="J174" s="1"/>
      <c r="K174" s="1"/>
      <c r="L174" s="1"/>
      <c r="M174" s="1"/>
      <c r="N174" s="1"/>
      <c r="O174" s="1"/>
      <c r="P174" s="1"/>
    </row>
    <row r="175" spans="1:16">
      <c r="J175" s="1"/>
      <c r="K175" s="1"/>
      <c r="L175" s="1"/>
      <c r="M175" s="1"/>
      <c r="N175" s="1"/>
      <c r="O175" s="1"/>
      <c r="P175" s="1"/>
    </row>
    <row r="176" spans="1:16">
      <c r="J176" s="1"/>
      <c r="K176" s="1"/>
      <c r="L176" s="1"/>
      <c r="M176" s="1"/>
      <c r="N176" s="1"/>
      <c r="O176" s="1"/>
      <c r="P176" s="1"/>
    </row>
    <row r="177" spans="1:16">
      <c r="J177" s="1"/>
      <c r="K177" s="1"/>
      <c r="L177" s="1"/>
      <c r="M177" s="1"/>
      <c r="N177" s="1"/>
      <c r="O177" s="1"/>
      <c r="P177" s="1"/>
    </row>
    <row r="178" spans="1:16">
      <c r="J178" s="1"/>
      <c r="K178" s="1"/>
      <c r="L178" s="1"/>
      <c r="M178" s="1"/>
      <c r="N178" s="1"/>
      <c r="O178" s="1"/>
      <c r="P178" s="1"/>
    </row>
    <row r="179" spans="1:16">
      <c r="J179" s="1"/>
      <c r="K179" s="1"/>
      <c r="L179" s="1"/>
      <c r="M179" s="1"/>
      <c r="N179" s="1"/>
      <c r="O179" s="1"/>
      <c r="P179" s="1"/>
    </row>
    <row r="180" spans="1:16">
      <c r="J180" s="1"/>
      <c r="K180" s="1"/>
      <c r="L180" s="1"/>
      <c r="M180" s="1"/>
      <c r="N180" s="1"/>
      <c r="O180" s="1"/>
      <c r="P180" s="1"/>
    </row>
    <row r="181" spans="1:16">
      <c r="J181" s="1"/>
      <c r="K181" s="1"/>
      <c r="L181" s="1"/>
      <c r="M181" s="1"/>
      <c r="N181" s="1"/>
      <c r="O181" s="1"/>
      <c r="P181" s="1"/>
    </row>
    <row r="182" spans="1:16">
      <c r="J182" s="1"/>
      <c r="K182" s="1"/>
      <c r="L182" s="1"/>
      <c r="M182" s="1"/>
      <c r="N182" s="1"/>
      <c r="O182" s="1"/>
      <c r="P182" s="1"/>
    </row>
    <row r="183" spans="1:16">
      <c r="J183" s="1"/>
      <c r="K183" s="1"/>
      <c r="L183" s="1"/>
      <c r="M183" s="1"/>
      <c r="N183" s="1"/>
      <c r="O183" s="1"/>
      <c r="P183" s="1"/>
    </row>
    <row r="184" spans="1:16">
      <c r="J184" s="1"/>
      <c r="K184" s="1"/>
      <c r="L184" s="1"/>
      <c r="M184" s="1"/>
      <c r="N184" s="1"/>
      <c r="O184" s="1"/>
      <c r="P184" s="1"/>
    </row>
    <row r="185" spans="1:16">
      <c r="J185" s="1"/>
      <c r="K185" s="1"/>
      <c r="L185" s="1"/>
      <c r="M185" s="1"/>
      <c r="N185" s="1"/>
      <c r="O185" s="1"/>
      <c r="P185" s="1"/>
    </row>
    <row r="186" spans="1:16">
      <c r="J186" s="1"/>
      <c r="K186" s="1"/>
      <c r="L186" s="1"/>
      <c r="M186" s="1"/>
      <c r="N186" s="1"/>
      <c r="O186" s="1"/>
      <c r="P186" s="1"/>
    </row>
    <row r="187" spans="1:16">
      <c r="J187" s="1"/>
      <c r="K187" s="1"/>
      <c r="L187" s="1"/>
      <c r="M187" s="1"/>
      <c r="N187" s="1"/>
      <c r="O187" s="1"/>
      <c r="P187" s="1"/>
    </row>
    <row r="188" spans="1:16">
      <c r="J188" s="1"/>
      <c r="K188" s="1"/>
      <c r="L188" s="1"/>
      <c r="M188" s="1"/>
      <c r="N188" s="1"/>
      <c r="O188" s="1"/>
      <c r="P188" s="1"/>
    </row>
    <row r="189" spans="1:16">
      <c r="J189" s="1"/>
      <c r="K189" s="1"/>
      <c r="L189" s="1"/>
      <c r="M189" s="1"/>
      <c r="N189" s="1"/>
      <c r="O189" s="1"/>
      <c r="P189" s="1"/>
    </row>
    <row r="190" spans="1:16">
      <c r="A190" s="1"/>
      <c r="B190" s="1"/>
      <c r="C190" s="1"/>
      <c r="D190" s="1"/>
      <c r="E190" s="1"/>
      <c r="F190" s="1"/>
      <c r="H190" s="1"/>
      <c r="I190" s="1"/>
      <c r="J190" s="1"/>
      <c r="K190" s="1"/>
      <c r="L190" s="1"/>
      <c r="M190" s="1"/>
      <c r="N190" s="1"/>
      <c r="O190" s="1"/>
      <c r="P190" s="1"/>
    </row>
    <row r="191" spans="1:16">
      <c r="A191" s="1"/>
      <c r="B191" s="1"/>
      <c r="C191" s="1"/>
      <c r="D191" s="1"/>
      <c r="E191" s="1"/>
      <c r="F191" s="1"/>
      <c r="H191" s="1"/>
      <c r="I191" s="1"/>
      <c r="J191" s="1"/>
      <c r="K191" s="1"/>
      <c r="L191" s="1"/>
      <c r="M191" s="1"/>
      <c r="N191" s="1"/>
      <c r="O191" s="1"/>
      <c r="P191" s="1"/>
    </row>
  </sheetData>
  <autoFilter ref="A1:AV116" xr:uid="{00000000-0001-0000-0200-000000000000}"/>
  <mergeCells count="26">
    <mergeCell ref="B3:M3"/>
    <mergeCell ref="G2:M2"/>
    <mergeCell ref="B113:E113"/>
    <mergeCell ref="B72:E72"/>
    <mergeCell ref="B101:E101"/>
    <mergeCell ref="B86:E86"/>
    <mergeCell ref="B104:E104"/>
    <mergeCell ref="B88:E88"/>
    <mergeCell ref="B71:E71"/>
    <mergeCell ref="B51:E51"/>
    <mergeCell ref="B66:E66"/>
    <mergeCell ref="B58:E58"/>
    <mergeCell ref="B60:E60"/>
    <mergeCell ref="B56:E56"/>
    <mergeCell ref="A50:M50"/>
    <mergeCell ref="B48:E48"/>
    <mergeCell ref="B4:E4"/>
    <mergeCell ref="B34:E34"/>
    <mergeCell ref="B110:E110"/>
    <mergeCell ref="B92:E92"/>
    <mergeCell ref="B76:E76"/>
    <mergeCell ref="B107:E107"/>
    <mergeCell ref="B105:E105"/>
    <mergeCell ref="B103:E103"/>
    <mergeCell ref="B43:E43"/>
    <mergeCell ref="B30:E30"/>
  </mergeCells>
  <conditionalFormatting sqref="C1 C35:C42 C44:C47 C52:C55 C64:C65 C73:C75 C98:C100 C108:C109">
    <cfRule type="cellIs" dxfId="158" priority="3552" operator="between">
      <formula>1</formula>
      <formula>60</formula>
    </cfRule>
  </conditionalFormatting>
  <conditionalFormatting sqref="C1 C64:C65 C35:C42 C44:C47 C52:C55 C73:C75 C98:C100 C108:C109">
    <cfRule type="cellIs" dxfId="157" priority="3551" operator="between">
      <formula>61</formula>
      <formula>90</formula>
    </cfRule>
  </conditionalFormatting>
  <conditionalFormatting sqref="C5:C32 C82:C85 C98:C100">
    <cfRule type="cellIs" dxfId="156" priority="13" operator="between">
      <formula>91</formula>
      <formula>366</formula>
    </cfRule>
    <cfRule type="cellIs" dxfId="155" priority="14" operator="between">
      <formula>61</formula>
      <formula>90</formula>
    </cfRule>
    <cfRule type="cellIs" dxfId="154" priority="15" operator="between">
      <formula>1</formula>
      <formula>60</formula>
    </cfRule>
  </conditionalFormatting>
  <conditionalFormatting sqref="C31">
    <cfRule type="cellIs" dxfId="153" priority="10" operator="between">
      <formula>91</formula>
      <formula>366</formula>
    </cfRule>
    <cfRule type="cellIs" dxfId="152" priority="11" operator="between">
      <formula>61</formula>
      <formula>90</formula>
    </cfRule>
    <cfRule type="cellIs" dxfId="151" priority="12" operator="between">
      <formula>1</formula>
      <formula>60</formula>
    </cfRule>
  </conditionalFormatting>
  <conditionalFormatting sqref="C32 C33:D33 C57 C59">
    <cfRule type="cellIs" dxfId="150" priority="260" operator="between">
      <formula>61</formula>
      <formula>90</formula>
    </cfRule>
    <cfRule type="cellIs" dxfId="149" priority="261" operator="between">
      <formula>1</formula>
      <formula>60</formula>
    </cfRule>
  </conditionalFormatting>
  <conditionalFormatting sqref="C44 C46 C114:C116">
    <cfRule type="cellIs" dxfId="148" priority="16" operator="between">
      <formula>61</formula>
      <formula>90</formula>
    </cfRule>
    <cfRule type="cellIs" dxfId="147" priority="17" operator="between">
      <formula>1</formula>
      <formula>60</formula>
    </cfRule>
  </conditionalFormatting>
  <conditionalFormatting sqref="C44:C47 C114:C116 C98:C100 C35:C42 C52:C55 C61:C62 C67:C70 C73:C75 C108:C109">
    <cfRule type="cellIs" dxfId="146" priority="141" operator="between">
      <formula>91</formula>
      <formula>366</formula>
    </cfRule>
  </conditionalFormatting>
  <conditionalFormatting sqref="C49">
    <cfRule type="cellIs" dxfId="145" priority="2" operator="between">
      <formula>61</formula>
      <formula>90</formula>
    </cfRule>
    <cfRule type="cellIs" dxfId="144" priority="3" operator="between">
      <formula>1</formula>
      <formula>60</formula>
    </cfRule>
    <cfRule type="cellIs" dxfId="143" priority="4" operator="between">
      <formula>91</formula>
      <formula>366</formula>
    </cfRule>
    <cfRule type="cellIs" dxfId="142" priority="5" operator="between">
      <formula>61</formula>
      <formula>90</formula>
    </cfRule>
    <cfRule type="cellIs" dxfId="141" priority="6" operator="between">
      <formula>1</formula>
      <formula>60</formula>
    </cfRule>
  </conditionalFormatting>
  <conditionalFormatting sqref="C61:C65 C67:C70">
    <cfRule type="cellIs" dxfId="140" priority="142" operator="between">
      <formula>61</formula>
      <formula>90</formula>
    </cfRule>
    <cfRule type="cellIs" dxfId="139" priority="143" operator="between">
      <formula>1</formula>
      <formula>60</formula>
    </cfRule>
  </conditionalFormatting>
  <conditionalFormatting sqref="C63:C65">
    <cfRule type="cellIs" dxfId="138" priority="273" operator="between">
      <formula>91</formula>
      <formula>366</formula>
    </cfRule>
    <cfRule type="cellIs" dxfId="137" priority="274" operator="between">
      <formula>61</formula>
      <formula>90</formula>
    </cfRule>
    <cfRule type="cellIs" dxfId="136" priority="275" operator="between">
      <formula>1</formula>
      <formula>60</formula>
    </cfRule>
  </conditionalFormatting>
  <conditionalFormatting sqref="C64:C65 C106 C96 C1">
    <cfRule type="cellIs" dxfId="135" priority="3550" operator="between">
      <formula>91</formula>
      <formula>366</formula>
    </cfRule>
  </conditionalFormatting>
  <conditionalFormatting sqref="C77:C80">
    <cfRule type="cellIs" dxfId="134" priority="86" operator="between">
      <formula>91</formula>
      <formula>366</formula>
    </cfRule>
    <cfRule type="cellIs" dxfId="133" priority="87" operator="between">
      <formula>61</formula>
      <formula>90</formula>
    </cfRule>
    <cfRule type="cellIs" dxfId="132" priority="88" operator="between">
      <formula>1</formula>
      <formula>60</formula>
    </cfRule>
  </conditionalFormatting>
  <conditionalFormatting sqref="C87">
    <cfRule type="cellIs" dxfId="131" priority="30" operator="between">
      <formula>91</formula>
      <formula>366</formula>
    </cfRule>
    <cfRule type="cellIs" dxfId="130" priority="31" operator="between">
      <formula>61</formula>
      <formula>90</formula>
    </cfRule>
    <cfRule type="cellIs" dxfId="129" priority="32" operator="between">
      <formula>1</formula>
      <formula>60</formula>
    </cfRule>
  </conditionalFormatting>
  <conditionalFormatting sqref="C89:C91">
    <cfRule type="cellIs" dxfId="128" priority="22" operator="between">
      <formula>91</formula>
      <formula>366</formula>
    </cfRule>
    <cfRule type="cellIs" dxfId="127" priority="23" operator="between">
      <formula>61</formula>
      <formula>90</formula>
    </cfRule>
    <cfRule type="cellIs" dxfId="126" priority="24" operator="between">
      <formula>1</formula>
      <formula>60</formula>
    </cfRule>
  </conditionalFormatting>
  <conditionalFormatting sqref="C93:C95">
    <cfRule type="cellIs" dxfId="125" priority="18" operator="between">
      <formula>91</formula>
      <formula>366</formula>
    </cfRule>
  </conditionalFormatting>
  <conditionalFormatting sqref="C93:C96">
    <cfRule type="cellIs" dxfId="124" priority="19" operator="between">
      <formula>61</formula>
      <formula>90</formula>
    </cfRule>
    <cfRule type="cellIs" dxfId="123" priority="20" operator="between">
      <formula>1</formula>
      <formula>60</formula>
    </cfRule>
  </conditionalFormatting>
  <conditionalFormatting sqref="C102">
    <cfRule type="cellIs" dxfId="122" priority="75" operator="between">
      <formula>91</formula>
      <formula>366</formula>
    </cfRule>
    <cfRule type="cellIs" dxfId="121" priority="76" operator="between">
      <formula>61</formula>
      <formula>90</formula>
    </cfRule>
    <cfRule type="cellIs" dxfId="120" priority="77" operator="between">
      <formula>1</formula>
      <formula>60</formula>
    </cfRule>
  </conditionalFormatting>
  <conditionalFormatting sqref="C106">
    <cfRule type="cellIs" dxfId="119" priority="62" operator="between">
      <formula>91</formula>
      <formula>366</formula>
    </cfRule>
    <cfRule type="cellIs" dxfId="118" priority="63" operator="between">
      <formula>61</formula>
      <formula>90</formula>
    </cfRule>
    <cfRule type="cellIs" dxfId="117" priority="64" operator="between">
      <formula>1</formula>
      <formula>60</formula>
    </cfRule>
    <cfRule type="cellIs" dxfId="116" priority="84" operator="between">
      <formula>61</formula>
      <formula>90</formula>
    </cfRule>
    <cfRule type="cellIs" dxfId="115" priority="85" operator="between">
      <formula>1</formula>
      <formula>60</formula>
    </cfRule>
  </conditionalFormatting>
  <conditionalFormatting sqref="C111">
    <cfRule type="cellIs" dxfId="114" priority="357" operator="between">
      <formula>61</formula>
      <formula>90</formula>
    </cfRule>
    <cfRule type="cellIs" dxfId="113" priority="358" operator="between">
      <formula>1</formula>
      <formula>60</formula>
    </cfRule>
  </conditionalFormatting>
  <conditionalFormatting sqref="C111:C112">
    <cfRule type="cellIs" dxfId="112" priority="38" operator="between">
      <formula>91</formula>
      <formula>366</formula>
    </cfRule>
  </conditionalFormatting>
  <conditionalFormatting sqref="C112">
    <cfRule type="cellIs" dxfId="111" priority="33" operator="between">
      <formula>61</formula>
      <formula>90</formula>
    </cfRule>
    <cfRule type="cellIs" dxfId="110" priority="34" operator="between">
      <formula>1</formula>
      <formula>60</formula>
    </cfRule>
    <cfRule type="cellIs" dxfId="109" priority="35" operator="between">
      <formula>91</formula>
      <formula>366</formula>
    </cfRule>
    <cfRule type="cellIs" dxfId="108" priority="36" operator="between">
      <formula>61</formula>
      <formula>90</formula>
    </cfRule>
    <cfRule type="cellIs" dxfId="107" priority="37" operator="between">
      <formula>1</formula>
      <formula>60</formula>
    </cfRule>
  </conditionalFormatting>
  <conditionalFormatting sqref="C1:D2 E1:E87 E98:E116 E118:E1048576">
    <cfRule type="cellIs" dxfId="106" priority="3553" operator="equal">
      <formula>1</formula>
    </cfRule>
  </conditionalFormatting>
  <conditionalFormatting sqref="C33:D33 C32 C57 C59">
    <cfRule type="cellIs" dxfId="105" priority="259" operator="between">
      <formula>91</formula>
      <formula>366</formula>
    </cfRule>
  </conditionalFormatting>
  <conditionalFormatting sqref="C33:D33">
    <cfRule type="cellIs" dxfId="104" priority="58" operator="between">
      <formula>91</formula>
      <formula>366</formula>
    </cfRule>
    <cfRule type="cellIs" dxfId="103" priority="59" operator="between">
      <formula>61</formula>
      <formula>90</formula>
    </cfRule>
    <cfRule type="cellIs" dxfId="102" priority="60" operator="between">
      <formula>1</formula>
      <formula>60</formula>
    </cfRule>
  </conditionalFormatting>
  <conditionalFormatting sqref="E89:E91">
    <cfRule type="cellIs" dxfId="101" priority="25" operator="equal">
      <formula>1</formula>
    </cfRule>
  </conditionalFormatting>
  <conditionalFormatting sqref="E93:E96">
    <cfRule type="cellIs" dxfId="100" priority="21" operator="equal">
      <formula>1</formula>
    </cfRule>
  </conditionalFormatting>
  <conditionalFormatting sqref="G53">
    <cfRule type="cellIs" dxfId="99" priority="1" operator="equal">
      <formula>1</formula>
    </cfRule>
  </conditionalFormatting>
  <printOptions horizontalCentered="1"/>
  <pageMargins left="0.19685039370078741" right="0.19685039370078741" top="0.39370078740157483" bottom="0.19685039370078741" header="0.19685039370078741" footer="0"/>
  <pageSetup paperSize="9" scale="39" fitToHeight="0" orientation="landscape" blackAndWhite="1" r:id="rId1"/>
  <headerFooter>
    <oddHeader>&amp;C&amp;"Arial CE,Tučné"&amp;16 VACANCIES - PRAGUE + CZECH BRANCHES&amp;R&amp;20 Last update: &amp;D</oddHeader>
  </headerFooter>
  <rowBreaks count="1" manualBreakCount="1">
    <brk id="11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List2"/>
  <dimension ref="A1:B58"/>
  <sheetViews>
    <sheetView workbookViewId="0">
      <selection activeCell="B59" sqref="B59"/>
    </sheetView>
  </sheetViews>
  <sheetFormatPr defaultRowHeight="13.15"/>
  <cols>
    <col min="1" max="1" width="10.140625" bestFit="1" customWidth="1"/>
  </cols>
  <sheetData>
    <row r="1" spans="1:2">
      <c r="A1" t="s">
        <v>741</v>
      </c>
      <c r="B1" t="s">
        <v>742</v>
      </c>
    </row>
    <row r="2" spans="1:2">
      <c r="A2" s="507">
        <v>45625</v>
      </c>
      <c r="B2">
        <v>70.75</v>
      </c>
    </row>
    <row r="3" spans="1:2">
      <c r="A3" s="507">
        <v>45642</v>
      </c>
      <c r="B3">
        <v>66.25</v>
      </c>
    </row>
    <row r="4" spans="1:2">
      <c r="A4" s="507">
        <v>45646</v>
      </c>
      <c r="B4">
        <v>67.25</v>
      </c>
    </row>
    <row r="5" spans="1:2">
      <c r="A5" s="507">
        <v>45656</v>
      </c>
      <c r="B5">
        <v>67.25</v>
      </c>
    </row>
    <row r="6" spans="1:2">
      <c r="A6" s="507">
        <v>45666</v>
      </c>
      <c r="B6">
        <v>59.25</v>
      </c>
    </row>
    <row r="7" spans="1:2">
      <c r="A7" s="507">
        <v>45674</v>
      </c>
      <c r="B7">
        <v>76.5</v>
      </c>
    </row>
    <row r="8" spans="1:2">
      <c r="A8" s="507">
        <v>45681</v>
      </c>
      <c r="B8">
        <v>78.5</v>
      </c>
    </row>
    <row r="9" spans="1:2">
      <c r="A9" s="507">
        <v>45695</v>
      </c>
      <c r="B9">
        <v>112</v>
      </c>
    </row>
    <row r="10" spans="1:2">
      <c r="A10" s="507">
        <v>45702</v>
      </c>
      <c r="B10">
        <v>119</v>
      </c>
    </row>
    <row r="11" spans="1:2">
      <c r="A11" s="507">
        <v>45709</v>
      </c>
      <c r="B11">
        <v>121.25</v>
      </c>
    </row>
    <row r="12" spans="1:2">
      <c r="A12" s="507">
        <v>45711</v>
      </c>
      <c r="B12">
        <v>121.25</v>
      </c>
    </row>
    <row r="13" spans="1:2">
      <c r="A13" s="507">
        <v>45716</v>
      </c>
      <c r="B13">
        <v>128.75</v>
      </c>
    </row>
    <row r="14" spans="1:2">
      <c r="A14" s="507">
        <v>45719</v>
      </c>
      <c r="B14">
        <v>142</v>
      </c>
    </row>
    <row r="15" spans="1:2">
      <c r="A15" s="507">
        <v>45721</v>
      </c>
      <c r="B15">
        <v>143.25</v>
      </c>
    </row>
    <row r="16" spans="1:2">
      <c r="A16" s="507">
        <v>45722</v>
      </c>
      <c r="B16">
        <v>140.25</v>
      </c>
    </row>
    <row r="17" spans="1:2">
      <c r="A17" s="507">
        <v>45727</v>
      </c>
      <c r="B17">
        <v>142.25</v>
      </c>
    </row>
    <row r="18" spans="1:2">
      <c r="A18" s="507">
        <v>45730</v>
      </c>
      <c r="B18">
        <v>132</v>
      </c>
    </row>
    <row r="19" spans="1:2">
      <c r="A19" s="507">
        <v>45735</v>
      </c>
      <c r="B19">
        <v>133</v>
      </c>
    </row>
    <row r="20" spans="1:2">
      <c r="A20" s="507">
        <v>45736</v>
      </c>
      <c r="B20">
        <v>131</v>
      </c>
    </row>
    <row r="21" spans="1:2">
      <c r="A21" s="507">
        <v>45743</v>
      </c>
      <c r="B21">
        <v>131</v>
      </c>
    </row>
    <row r="22" spans="1:2">
      <c r="A22" s="507">
        <v>45744</v>
      </c>
      <c r="B22">
        <v>133.5</v>
      </c>
    </row>
    <row r="23" spans="1:2">
      <c r="A23" s="507">
        <v>45750</v>
      </c>
      <c r="B23">
        <v>121.25</v>
      </c>
    </row>
    <row r="24" spans="1:2">
      <c r="A24" s="507">
        <v>45751</v>
      </c>
      <c r="B24">
        <v>134.25</v>
      </c>
    </row>
    <row r="25" spans="1:2">
      <c r="A25" s="507">
        <v>45756</v>
      </c>
      <c r="B25">
        <v>129.25</v>
      </c>
    </row>
    <row r="26" spans="1:2">
      <c r="A26" s="507">
        <v>45758</v>
      </c>
      <c r="B26">
        <v>120.25</v>
      </c>
    </row>
    <row r="27" spans="1:2">
      <c r="A27" s="507">
        <v>45770</v>
      </c>
      <c r="B27">
        <v>118.25</v>
      </c>
    </row>
    <row r="28" spans="1:2">
      <c r="A28" s="507">
        <v>45772</v>
      </c>
      <c r="B28">
        <v>123.25</v>
      </c>
    </row>
    <row r="29" spans="1:2">
      <c r="A29" s="507">
        <v>45775</v>
      </c>
      <c r="B29">
        <v>121.25</v>
      </c>
    </row>
    <row r="30" spans="1:2">
      <c r="A30" s="507">
        <v>45785</v>
      </c>
      <c r="B30">
        <v>118.25</v>
      </c>
    </row>
    <row r="31" spans="1:2">
      <c r="A31" s="507">
        <v>45786</v>
      </c>
      <c r="B31">
        <v>123.25</v>
      </c>
    </row>
    <row r="32" spans="1:2">
      <c r="A32" s="507">
        <v>45792</v>
      </c>
      <c r="B32">
        <v>121.25</v>
      </c>
    </row>
    <row r="33" spans="1:2">
      <c r="A33" s="507">
        <v>45799</v>
      </c>
      <c r="B33">
        <v>138.5</v>
      </c>
    </row>
    <row r="34" spans="1:2">
      <c r="A34" s="507">
        <v>45800</v>
      </c>
      <c r="B34">
        <v>140</v>
      </c>
    </row>
    <row r="35" spans="1:2">
      <c r="A35" s="507">
        <v>45803</v>
      </c>
      <c r="B35">
        <v>132.5</v>
      </c>
    </row>
    <row r="36" spans="1:2">
      <c r="A36" s="507">
        <v>45804</v>
      </c>
      <c r="B36">
        <v>128.75</v>
      </c>
    </row>
    <row r="37" spans="1:2">
      <c r="A37" s="507">
        <v>45806</v>
      </c>
      <c r="B37">
        <v>130.5</v>
      </c>
    </row>
    <row r="38" spans="1:2">
      <c r="A38" s="507">
        <v>45082</v>
      </c>
      <c r="B38">
        <v>129</v>
      </c>
    </row>
    <row r="39" spans="1:2">
      <c r="A39" s="507">
        <v>45819</v>
      </c>
      <c r="B39">
        <v>121</v>
      </c>
    </row>
    <row r="40" spans="1:2">
      <c r="A40" s="507">
        <v>45821</v>
      </c>
      <c r="B40">
        <v>116</v>
      </c>
    </row>
    <row r="41" spans="1:2">
      <c r="A41" s="507">
        <v>45827</v>
      </c>
      <c r="B41">
        <v>119</v>
      </c>
    </row>
    <row r="42" spans="1:2">
      <c r="A42" s="507">
        <v>45834</v>
      </c>
      <c r="B42">
        <v>115</v>
      </c>
    </row>
    <row r="43" spans="1:2">
      <c r="A43" s="507">
        <v>45842</v>
      </c>
      <c r="B43">
        <v>107</v>
      </c>
    </row>
    <row r="44" spans="1:2">
      <c r="A44" s="507">
        <v>45848</v>
      </c>
      <c r="B44">
        <v>114</v>
      </c>
    </row>
    <row r="45" spans="1:2">
      <c r="A45" s="507">
        <v>45894</v>
      </c>
      <c r="B45">
        <v>110</v>
      </c>
    </row>
    <row r="46" spans="1:2">
      <c r="A46" s="507">
        <v>45905</v>
      </c>
      <c r="B46">
        <v>87</v>
      </c>
    </row>
    <row r="47" spans="1:2">
      <c r="A47" s="507">
        <v>45932</v>
      </c>
      <c r="B47">
        <v>120</v>
      </c>
    </row>
    <row r="48" spans="1:2">
      <c r="A48" s="507">
        <v>45954</v>
      </c>
      <c r="B48">
        <v>105</v>
      </c>
    </row>
    <row r="49" spans="1:2">
      <c r="A49" s="507">
        <v>45960</v>
      </c>
      <c r="B49">
        <v>105</v>
      </c>
    </row>
    <row r="50" spans="1:2">
      <c r="A50" s="507">
        <v>45975</v>
      </c>
      <c r="B50">
        <v>80</v>
      </c>
    </row>
    <row r="51" spans="1:2">
      <c r="A51" s="507">
        <v>45985</v>
      </c>
      <c r="B51">
        <v>78</v>
      </c>
    </row>
    <row r="52" spans="1:2">
      <c r="A52" s="507">
        <v>45988</v>
      </c>
      <c r="B52">
        <v>71</v>
      </c>
    </row>
    <row r="53" spans="1:2">
      <c r="A53" s="507">
        <v>45995</v>
      </c>
      <c r="B53">
        <v>59</v>
      </c>
    </row>
    <row r="54" spans="1:2">
      <c r="A54" s="507">
        <v>46002</v>
      </c>
      <c r="B54">
        <v>64</v>
      </c>
    </row>
    <row r="55" spans="1:2">
      <c r="A55" s="507">
        <v>46009</v>
      </c>
      <c r="B55">
        <v>63</v>
      </c>
    </row>
    <row r="56" spans="1:2">
      <c r="A56" s="507">
        <v>46030</v>
      </c>
      <c r="B56">
        <v>68</v>
      </c>
    </row>
    <row r="57" spans="1:2">
      <c r="A57" s="507">
        <v>46065</v>
      </c>
      <c r="B57">
        <v>94</v>
      </c>
    </row>
    <row r="58" spans="1:2">
      <c r="A58" s="507">
        <v>46084</v>
      </c>
      <c r="B58">
        <v>103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CC20-D2D9-4102-825A-C049746818FD}">
  <sheetPr codeName="List3"/>
  <dimension ref="A1:P10"/>
  <sheetViews>
    <sheetView workbookViewId="0">
      <selection activeCell="B17" sqref="B17"/>
    </sheetView>
  </sheetViews>
  <sheetFormatPr defaultRowHeight="13.15"/>
  <cols>
    <col min="1" max="1" width="16.85546875" bestFit="1" customWidth="1"/>
    <col min="2" max="2" width="19.7109375" bestFit="1" customWidth="1"/>
    <col min="3" max="3" width="17.140625" bestFit="1" customWidth="1"/>
    <col min="4" max="4" width="12.140625" bestFit="1" customWidth="1"/>
    <col min="5" max="5" width="21.28515625" bestFit="1" customWidth="1"/>
    <col min="6" max="6" width="15.42578125" bestFit="1" customWidth="1"/>
    <col min="7" max="7" width="14.42578125" bestFit="1" customWidth="1"/>
    <col min="8" max="8" width="28.5703125" bestFit="1" customWidth="1"/>
    <col min="9" max="9" width="28" bestFit="1" customWidth="1"/>
    <col min="10" max="10" width="17.140625" bestFit="1" customWidth="1"/>
    <col min="11" max="11" width="12.140625" bestFit="1" customWidth="1"/>
    <col min="12" max="12" width="61" bestFit="1" customWidth="1"/>
    <col min="13" max="13" width="143" bestFit="1" customWidth="1"/>
    <col min="14" max="14" width="9" bestFit="1" customWidth="1"/>
    <col min="15" max="15" width="10.5703125" bestFit="1" customWidth="1"/>
    <col min="16" max="16" width="9" bestFit="1" customWidth="1"/>
  </cols>
  <sheetData>
    <row r="1" spans="1:16">
      <c r="A1" s="767" t="s">
        <v>743</v>
      </c>
    </row>
    <row r="3" spans="1:16">
      <c r="A3" t="s">
        <v>299</v>
      </c>
      <c r="B3" t="s">
        <v>744</v>
      </c>
      <c r="C3" t="s">
        <v>745</v>
      </c>
      <c r="D3" t="s">
        <v>746</v>
      </c>
      <c r="E3" t="s">
        <v>302</v>
      </c>
      <c r="F3" t="s">
        <v>303</v>
      </c>
      <c r="G3" t="s">
        <v>304</v>
      </c>
      <c r="H3" t="s">
        <v>305</v>
      </c>
      <c r="I3" t="s">
        <v>306</v>
      </c>
      <c r="J3" t="s">
        <v>307</v>
      </c>
      <c r="K3" t="s">
        <v>308</v>
      </c>
      <c r="L3" t="s">
        <v>309</v>
      </c>
      <c r="M3" t="s">
        <v>310</v>
      </c>
      <c r="N3" t="s">
        <v>19</v>
      </c>
      <c r="O3" t="s">
        <v>312</v>
      </c>
      <c r="P3" t="s">
        <v>313</v>
      </c>
    </row>
    <row r="4" spans="1:16" ht="39.6">
      <c r="A4" t="s">
        <v>269</v>
      </c>
      <c r="B4" t="s">
        <v>747</v>
      </c>
      <c r="C4" s="507">
        <v>45947</v>
      </c>
      <c r="D4">
        <v>28</v>
      </c>
      <c r="E4">
        <v>179003</v>
      </c>
      <c r="F4" t="s">
        <v>451</v>
      </c>
      <c r="G4" t="s">
        <v>291</v>
      </c>
      <c r="H4" t="s">
        <v>748</v>
      </c>
      <c r="I4" t="s">
        <v>606</v>
      </c>
      <c r="J4" t="s">
        <v>55</v>
      </c>
      <c r="K4" t="s">
        <v>749</v>
      </c>
      <c r="L4" t="s">
        <v>750</v>
      </c>
      <c r="M4" s="766" t="s">
        <v>751</v>
      </c>
      <c r="N4">
        <v>2</v>
      </c>
      <c r="O4">
        <v>0</v>
      </c>
      <c r="P4">
        <v>1</v>
      </c>
    </row>
    <row r="5" spans="1:16">
      <c r="A5" t="s">
        <v>269</v>
      </c>
      <c r="B5" t="s">
        <v>752</v>
      </c>
      <c r="C5" s="507">
        <v>45947</v>
      </c>
      <c r="D5">
        <v>28</v>
      </c>
      <c r="E5">
        <v>179002</v>
      </c>
      <c r="F5" t="s">
        <v>451</v>
      </c>
      <c r="G5" t="s">
        <v>291</v>
      </c>
      <c r="H5" t="s">
        <v>753</v>
      </c>
      <c r="I5" t="s">
        <v>606</v>
      </c>
      <c r="J5" t="s">
        <v>124</v>
      </c>
      <c r="K5" t="s">
        <v>330</v>
      </c>
      <c r="L5" t="s">
        <v>754</v>
      </c>
      <c r="M5" t="s">
        <v>755</v>
      </c>
      <c r="N5">
        <v>10</v>
      </c>
      <c r="O5">
        <v>8</v>
      </c>
      <c r="P5">
        <v>3</v>
      </c>
    </row>
    <row r="6" spans="1:16" ht="26.45">
      <c r="A6" t="s">
        <v>756</v>
      </c>
      <c r="B6" t="s">
        <v>25</v>
      </c>
      <c r="C6" s="507">
        <v>45957</v>
      </c>
      <c r="D6">
        <v>18</v>
      </c>
      <c r="E6">
        <v>180119</v>
      </c>
      <c r="F6" t="s">
        <v>451</v>
      </c>
      <c r="G6" t="s">
        <v>291</v>
      </c>
      <c r="H6" t="s">
        <v>571</v>
      </c>
      <c r="I6" t="s">
        <v>606</v>
      </c>
      <c r="J6" t="s">
        <v>55</v>
      </c>
      <c r="K6" t="s">
        <v>749</v>
      </c>
      <c r="L6" t="s">
        <v>757</v>
      </c>
      <c r="M6" s="766" t="s">
        <v>758</v>
      </c>
      <c r="N6">
        <v>5</v>
      </c>
      <c r="O6">
        <v>3</v>
      </c>
      <c r="P6">
        <v>1</v>
      </c>
    </row>
    <row r="7" spans="1:16" ht="26.45">
      <c r="A7" t="s">
        <v>759</v>
      </c>
      <c r="B7" t="s">
        <v>760</v>
      </c>
      <c r="C7" s="507">
        <v>45971</v>
      </c>
      <c r="D7">
        <v>4</v>
      </c>
      <c r="E7">
        <v>179002</v>
      </c>
      <c r="F7" t="s">
        <v>451</v>
      </c>
      <c r="G7" t="s">
        <v>291</v>
      </c>
      <c r="H7" t="s">
        <v>605</v>
      </c>
      <c r="I7" t="s">
        <v>606</v>
      </c>
      <c r="J7" t="s">
        <v>62</v>
      </c>
      <c r="K7" t="s">
        <v>330</v>
      </c>
      <c r="L7" t="s">
        <v>754</v>
      </c>
      <c r="M7" s="766" t="s">
        <v>761</v>
      </c>
      <c r="N7">
        <v>2</v>
      </c>
      <c r="O7">
        <v>0</v>
      </c>
      <c r="P7">
        <v>2</v>
      </c>
    </row>
    <row r="8" spans="1:16" ht="26.45">
      <c r="A8" t="s">
        <v>762</v>
      </c>
      <c r="B8" t="s">
        <v>315</v>
      </c>
      <c r="C8" s="507">
        <v>45937</v>
      </c>
      <c r="D8">
        <v>38</v>
      </c>
      <c r="E8">
        <v>178528</v>
      </c>
      <c r="F8" t="s">
        <v>451</v>
      </c>
      <c r="G8" t="s">
        <v>459</v>
      </c>
      <c r="H8" t="s">
        <v>763</v>
      </c>
      <c r="I8" t="s">
        <v>764</v>
      </c>
      <c r="J8" t="s">
        <v>462</v>
      </c>
      <c r="K8" t="s">
        <v>418</v>
      </c>
      <c r="L8" t="s">
        <v>765</v>
      </c>
      <c r="M8" s="766" t="s">
        <v>766</v>
      </c>
      <c r="N8">
        <v>1</v>
      </c>
      <c r="O8">
        <v>1</v>
      </c>
      <c r="P8">
        <v>1</v>
      </c>
    </row>
    <row r="9" spans="1:16">
      <c r="A9" t="s">
        <v>767</v>
      </c>
      <c r="B9" t="s">
        <v>315</v>
      </c>
      <c r="C9" s="507">
        <v>45959</v>
      </c>
      <c r="D9">
        <v>16</v>
      </c>
      <c r="E9">
        <v>179978</v>
      </c>
      <c r="F9" t="s">
        <v>451</v>
      </c>
      <c r="G9" t="s">
        <v>768</v>
      </c>
      <c r="H9" t="s">
        <v>337</v>
      </c>
      <c r="I9" t="s">
        <v>346</v>
      </c>
      <c r="J9" t="s">
        <v>769</v>
      </c>
      <c r="K9" t="s">
        <v>298</v>
      </c>
      <c r="L9" t="s">
        <v>770</v>
      </c>
      <c r="M9" t="s">
        <v>771</v>
      </c>
    </row>
    <row r="10" spans="1:16" ht="52.9">
      <c r="A10" t="s">
        <v>772</v>
      </c>
      <c r="B10" t="s">
        <v>315</v>
      </c>
      <c r="C10" s="507">
        <v>45931</v>
      </c>
      <c r="D10">
        <v>44</v>
      </c>
      <c r="E10">
        <v>180118</v>
      </c>
      <c r="F10" t="s">
        <v>451</v>
      </c>
      <c r="G10" t="s">
        <v>452</v>
      </c>
      <c r="H10" t="s">
        <v>453</v>
      </c>
      <c r="I10" t="s">
        <v>454</v>
      </c>
      <c r="J10" t="s">
        <v>455</v>
      </c>
      <c r="K10" t="s">
        <v>323</v>
      </c>
      <c r="L10" t="s">
        <v>456</v>
      </c>
      <c r="M10" s="766" t="s">
        <v>773</v>
      </c>
      <c r="N10">
        <v>36</v>
      </c>
      <c r="O10">
        <v>35</v>
      </c>
      <c r="P10">
        <v>1</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40B6C-521C-40A6-A667-2AA75D211B0A}">
  <sheetPr codeName="List11">
    <pageSetUpPr fitToPage="1"/>
  </sheetPr>
  <dimension ref="A1:CX212"/>
  <sheetViews>
    <sheetView showGridLines="0" topLeftCell="C11" zoomScale="60" zoomScaleNormal="60" zoomScaleSheetLayoutView="70" zoomScalePageLayoutView="25" workbookViewId="0">
      <selection activeCell="M15" sqref="M15"/>
    </sheetView>
  </sheetViews>
  <sheetFormatPr defaultColWidth="8.42578125" defaultRowHeight="18"/>
  <cols>
    <col min="1" max="1" width="17.7109375" style="685" customWidth="1"/>
    <col min="2" max="2" width="24.5703125" style="685" customWidth="1"/>
    <col min="3" max="3" width="20.7109375" style="686" customWidth="1"/>
    <col min="4" max="4" width="23" style="686" customWidth="1"/>
    <col min="5" max="5" width="27.85546875" style="686" customWidth="1"/>
    <col min="6" max="6" width="25.28515625" style="686" hidden="1" customWidth="1"/>
    <col min="7" max="7" width="21.140625" style="687" customWidth="1"/>
    <col min="8" max="8" width="24.7109375" style="688" customWidth="1"/>
    <col min="9" max="9" width="25.28515625" style="687" customWidth="1"/>
    <col min="10" max="10" width="25.5703125" style="687" customWidth="1"/>
    <col min="11" max="11" width="18" style="687" customWidth="1"/>
    <col min="12" max="12" width="29.7109375" style="687" customWidth="1"/>
    <col min="13" max="13" width="26.42578125" style="689" customWidth="1"/>
    <col min="14" max="14" width="77.28515625" style="690" customWidth="1"/>
    <col min="15" max="15" width="11.7109375" style="690" customWidth="1"/>
    <col min="16" max="16" width="14.7109375" style="691" customWidth="1"/>
    <col min="17" max="16384" width="8.42578125" style="688"/>
  </cols>
  <sheetData>
    <row r="1" spans="1:102" s="683" customFormat="1" ht="48.6" customHeight="1">
      <c r="A1" s="672" t="s">
        <v>774</v>
      </c>
      <c r="B1" s="719" t="s">
        <v>775</v>
      </c>
      <c r="C1" s="672" t="s">
        <v>744</v>
      </c>
      <c r="D1" s="672" t="s">
        <v>745</v>
      </c>
      <c r="E1" s="672" t="s">
        <v>746</v>
      </c>
      <c r="F1" s="672" t="s">
        <v>302</v>
      </c>
      <c r="G1" s="672" t="s">
        <v>303</v>
      </c>
      <c r="H1" s="673" t="s">
        <v>304</v>
      </c>
      <c r="I1" s="673" t="s">
        <v>305</v>
      </c>
      <c r="J1" s="673" t="s">
        <v>306</v>
      </c>
      <c r="K1" s="673" t="s">
        <v>307</v>
      </c>
      <c r="L1" s="673" t="s">
        <v>308</v>
      </c>
      <c r="M1" s="673" t="s">
        <v>309</v>
      </c>
      <c r="N1" s="673" t="s">
        <v>310</v>
      </c>
      <c r="O1" s="673" t="s">
        <v>19</v>
      </c>
      <c r="P1" s="673" t="s">
        <v>312</v>
      </c>
      <c r="Q1" s="674" t="s">
        <v>313</v>
      </c>
    </row>
    <row r="2" spans="1:102" s="684" customFormat="1" ht="15" customHeight="1">
      <c r="A2" s="692"/>
      <c r="B2" s="692"/>
      <c r="C2" s="694" t="s">
        <v>776</v>
      </c>
      <c r="D2" s="694"/>
      <c r="E2" s="694"/>
      <c r="F2" s="694"/>
      <c r="G2" s="694"/>
      <c r="H2" s="694"/>
      <c r="I2" s="695"/>
      <c r="J2" s="694"/>
      <c r="K2" s="695"/>
      <c r="L2" s="695"/>
      <c r="M2" s="694"/>
      <c r="N2" s="696"/>
      <c r="O2" s="697"/>
      <c r="P2" s="697"/>
      <c r="Q2" s="698"/>
    </row>
    <row r="3" spans="1:102" s="684" customFormat="1" ht="106.5" customHeight="1">
      <c r="A3" s="712" t="s">
        <v>270</v>
      </c>
      <c r="B3" s="712" t="s">
        <v>777</v>
      </c>
      <c r="C3" s="713" t="s">
        <v>151</v>
      </c>
      <c r="D3" s="714">
        <v>46069</v>
      </c>
      <c r="E3" s="735">
        <f t="shared" ref="E3:E4" ca="1" si="0">_xlfn.DAYS(TODAY(),D3)</f>
        <v>16</v>
      </c>
      <c r="F3" s="713"/>
      <c r="G3" s="713" t="s">
        <v>318</v>
      </c>
      <c r="H3" s="717" t="s">
        <v>778</v>
      </c>
      <c r="I3" s="713" t="s">
        <v>320</v>
      </c>
      <c r="J3" s="763" t="s">
        <v>779</v>
      </c>
      <c r="K3" s="713" t="s">
        <v>322</v>
      </c>
      <c r="L3" s="713" t="s">
        <v>323</v>
      </c>
      <c r="M3" s="713" t="s">
        <v>485</v>
      </c>
      <c r="N3" s="790" t="s">
        <v>780</v>
      </c>
      <c r="O3" s="681">
        <v>50.13</v>
      </c>
      <c r="P3" s="681">
        <v>45.1</v>
      </c>
      <c r="Q3" s="762">
        <v>5</v>
      </c>
    </row>
    <row r="4" spans="1:102" s="684" customFormat="1" ht="147" customHeight="1">
      <c r="A4" s="722" t="s">
        <v>270</v>
      </c>
      <c r="B4" s="722" t="s">
        <v>781</v>
      </c>
      <c r="C4" s="723" t="s">
        <v>776</v>
      </c>
      <c r="D4" s="724">
        <v>46069</v>
      </c>
      <c r="E4" s="735">
        <f t="shared" ca="1" si="0"/>
        <v>16</v>
      </c>
      <c r="F4" s="723"/>
      <c r="G4" s="713" t="s">
        <v>318</v>
      </c>
      <c r="H4" s="731" t="s">
        <v>778</v>
      </c>
      <c r="I4" s="723" t="s">
        <v>320</v>
      </c>
      <c r="J4" s="780" t="s">
        <v>782</v>
      </c>
      <c r="K4" s="723" t="s">
        <v>329</v>
      </c>
      <c r="L4" s="723" t="s">
        <v>749</v>
      </c>
      <c r="M4" s="723" t="s">
        <v>783</v>
      </c>
      <c r="N4" s="789" t="s">
        <v>784</v>
      </c>
      <c r="O4" s="681">
        <v>41</v>
      </c>
      <c r="P4" s="681">
        <v>42</v>
      </c>
      <c r="Q4" s="762">
        <v>0</v>
      </c>
    </row>
    <row r="5" spans="1:102" s="684" customFormat="1" ht="90.6" customHeight="1">
      <c r="A5" s="712" t="s">
        <v>270</v>
      </c>
      <c r="B5" s="712" t="s">
        <v>785</v>
      </c>
      <c r="C5" s="713" t="s">
        <v>776</v>
      </c>
      <c r="D5" s="714">
        <v>46055</v>
      </c>
      <c r="E5" s="713">
        <f t="shared" ref="E5" ca="1" si="1">_xlfn.DAYS(TODAY(),D5)</f>
        <v>30</v>
      </c>
      <c r="F5" s="713">
        <v>182910</v>
      </c>
      <c r="G5" s="713" t="s">
        <v>397</v>
      </c>
      <c r="H5" s="713" t="s">
        <v>398</v>
      </c>
      <c r="I5" s="713" t="s">
        <v>405</v>
      </c>
      <c r="J5" s="718" t="s">
        <v>385</v>
      </c>
      <c r="K5" s="713" t="s">
        <v>401</v>
      </c>
      <c r="L5" s="713" t="s">
        <v>296</v>
      </c>
      <c r="M5" s="713" t="s">
        <v>414</v>
      </c>
      <c r="N5" s="787" t="s">
        <v>786</v>
      </c>
      <c r="O5" s="675">
        <v>23</v>
      </c>
      <c r="P5" s="675">
        <v>21</v>
      </c>
      <c r="Q5" s="676">
        <v>2</v>
      </c>
    </row>
    <row r="6" spans="1:102" s="684" customFormat="1" ht="90.6" customHeight="1">
      <c r="A6" s="712" t="s">
        <v>269</v>
      </c>
      <c r="B6" s="722"/>
      <c r="C6" s="723" t="s">
        <v>776</v>
      </c>
      <c r="D6" s="724">
        <v>45907</v>
      </c>
      <c r="E6" s="723">
        <f ca="1">_xlfn.DAYS(TODAY(),D6)</f>
        <v>178</v>
      </c>
      <c r="F6" s="723" t="s">
        <v>361</v>
      </c>
      <c r="G6" s="713" t="s">
        <v>397</v>
      </c>
      <c r="H6" s="723" t="s">
        <v>398</v>
      </c>
      <c r="I6" s="723" t="s">
        <v>787</v>
      </c>
      <c r="J6" s="737" t="s">
        <v>385</v>
      </c>
      <c r="K6" s="723" t="s">
        <v>401</v>
      </c>
      <c r="L6" s="713" t="s">
        <v>296</v>
      </c>
      <c r="M6" s="723" t="s">
        <v>414</v>
      </c>
      <c r="N6" s="755" t="s">
        <v>788</v>
      </c>
      <c r="O6" s="738">
        <v>2</v>
      </c>
      <c r="P6" s="738">
        <v>1</v>
      </c>
      <c r="Q6" s="676">
        <v>1</v>
      </c>
    </row>
    <row r="7" spans="1:102" s="684" customFormat="1" ht="90.6" customHeight="1">
      <c r="A7" s="712" t="s">
        <v>270</v>
      </c>
      <c r="B7" s="712" t="s">
        <v>789</v>
      </c>
      <c r="C7" s="713" t="s">
        <v>117</v>
      </c>
      <c r="D7" s="714">
        <v>46076</v>
      </c>
      <c r="E7" s="713">
        <f t="shared" ref="E7" ca="1" si="2">_xlfn.DAYS(TODAY(),D7)</f>
        <v>9</v>
      </c>
      <c r="F7" s="713">
        <v>179250</v>
      </c>
      <c r="G7" s="713" t="s">
        <v>397</v>
      </c>
      <c r="H7" s="713" t="s">
        <v>398</v>
      </c>
      <c r="I7" s="713" t="s">
        <v>399</v>
      </c>
      <c r="J7" s="718" t="s">
        <v>385</v>
      </c>
      <c r="K7" s="713" t="s">
        <v>401</v>
      </c>
      <c r="L7" s="713" t="s">
        <v>296</v>
      </c>
      <c r="M7" s="713" t="s">
        <v>414</v>
      </c>
      <c r="N7" s="755" t="s">
        <v>790</v>
      </c>
      <c r="O7" s="675">
        <v>8</v>
      </c>
      <c r="P7" s="675">
        <v>7</v>
      </c>
      <c r="Q7" s="676">
        <v>1</v>
      </c>
    </row>
    <row r="8" spans="1:102" s="684" customFormat="1" ht="90.6" customHeight="1">
      <c r="A8" s="712" t="s">
        <v>270</v>
      </c>
      <c r="B8" s="712" t="s">
        <v>791</v>
      </c>
      <c r="C8" s="713" t="s">
        <v>66</v>
      </c>
      <c r="D8" s="714">
        <v>45956</v>
      </c>
      <c r="E8" s="713">
        <f t="shared" ref="E8" ca="1" si="3">_xlfn.DAYS(TODAY(),D8)</f>
        <v>129</v>
      </c>
      <c r="F8" s="713">
        <v>179250</v>
      </c>
      <c r="G8" s="713" t="s">
        <v>397</v>
      </c>
      <c r="H8" s="713" t="s">
        <v>398</v>
      </c>
      <c r="I8" s="713" t="s">
        <v>792</v>
      </c>
      <c r="J8" s="718" t="s">
        <v>385</v>
      </c>
      <c r="K8" s="713" t="s">
        <v>401</v>
      </c>
      <c r="L8" s="713" t="s">
        <v>296</v>
      </c>
      <c r="M8" s="713" t="s">
        <v>414</v>
      </c>
      <c r="N8" s="755" t="s">
        <v>406</v>
      </c>
      <c r="O8" s="675">
        <v>1</v>
      </c>
      <c r="P8" s="675">
        <v>0</v>
      </c>
      <c r="Q8" s="676">
        <v>1</v>
      </c>
    </row>
    <row r="9" spans="1:102" s="684" customFormat="1" ht="90.6" customHeight="1">
      <c r="A9" s="712" t="s">
        <v>270</v>
      </c>
      <c r="B9" s="712" t="s">
        <v>793</v>
      </c>
      <c r="C9" s="723" t="s">
        <v>776</v>
      </c>
      <c r="D9" s="714">
        <v>46038</v>
      </c>
      <c r="E9" s="713">
        <f ca="1">_xlfn.DAYS(TODAY(),D9)</f>
        <v>47</v>
      </c>
      <c r="F9" s="713" t="s">
        <v>361</v>
      </c>
      <c r="G9" s="713" t="s">
        <v>794</v>
      </c>
      <c r="H9" s="717" t="s">
        <v>795</v>
      </c>
      <c r="I9" s="713" t="s">
        <v>796</v>
      </c>
      <c r="J9" s="763" t="s">
        <v>797</v>
      </c>
      <c r="K9" s="713" t="s">
        <v>798</v>
      </c>
      <c r="L9" s="713" t="s">
        <v>330</v>
      </c>
      <c r="M9" s="713" t="s">
        <v>770</v>
      </c>
      <c r="N9" s="758" t="s">
        <v>799</v>
      </c>
      <c r="O9" s="678">
        <v>2</v>
      </c>
      <c r="P9" s="678">
        <v>2</v>
      </c>
      <c r="Q9" s="676">
        <v>1</v>
      </c>
    </row>
    <row r="10" spans="1:102" s="684" customFormat="1" ht="90.6" customHeight="1">
      <c r="A10" s="712" t="s">
        <v>270</v>
      </c>
      <c r="B10" s="712" t="s">
        <v>800</v>
      </c>
      <c r="C10" s="723" t="s">
        <v>776</v>
      </c>
      <c r="D10" s="714">
        <v>46072</v>
      </c>
      <c r="E10" s="713">
        <f ca="1">_xlfn.DAYS(TODAY(),D10)</f>
        <v>13</v>
      </c>
      <c r="F10" s="713" t="s">
        <v>361</v>
      </c>
      <c r="G10" s="713" t="s">
        <v>794</v>
      </c>
      <c r="H10" s="717" t="s">
        <v>801</v>
      </c>
      <c r="I10" s="713" t="s">
        <v>802</v>
      </c>
      <c r="J10" s="763" t="s">
        <v>803</v>
      </c>
      <c r="K10" s="713" t="s">
        <v>804</v>
      </c>
      <c r="L10" s="713" t="s">
        <v>330</v>
      </c>
      <c r="M10" s="713" t="s">
        <v>805</v>
      </c>
      <c r="N10" s="758" t="s">
        <v>806</v>
      </c>
      <c r="O10" s="678">
        <v>2</v>
      </c>
      <c r="P10" s="678">
        <v>2</v>
      </c>
      <c r="Q10" s="676">
        <v>1</v>
      </c>
    </row>
    <row r="11" spans="1:102" s="684" customFormat="1" ht="90.6" customHeight="1">
      <c r="A11" s="712" t="s">
        <v>270</v>
      </c>
      <c r="B11" s="712" t="s">
        <v>807</v>
      </c>
      <c r="C11" s="723" t="s">
        <v>776</v>
      </c>
      <c r="D11" s="714">
        <v>46072</v>
      </c>
      <c r="E11" s="713">
        <f ca="1">_xlfn.DAYS(TODAY(),D11)</f>
        <v>13</v>
      </c>
      <c r="F11" s="713" t="s">
        <v>361</v>
      </c>
      <c r="G11" s="713" t="s">
        <v>808</v>
      </c>
      <c r="H11" s="717" t="s">
        <v>809</v>
      </c>
      <c r="I11" s="713" t="s">
        <v>810</v>
      </c>
      <c r="J11" s="763" t="s">
        <v>811</v>
      </c>
      <c r="K11" s="713" t="s">
        <v>812</v>
      </c>
      <c r="L11" s="713" t="s">
        <v>330</v>
      </c>
      <c r="M11" s="713" t="s">
        <v>770</v>
      </c>
      <c r="N11" s="758" t="s">
        <v>813</v>
      </c>
      <c r="O11" s="678">
        <v>1.5</v>
      </c>
      <c r="P11" s="678">
        <v>0.5</v>
      </c>
      <c r="Q11" s="676">
        <v>1</v>
      </c>
    </row>
    <row r="12" spans="1:102" s="781" customFormat="1" ht="113.25" customHeight="1">
      <c r="A12" s="712" t="s">
        <v>270</v>
      </c>
      <c r="B12" s="722" t="s">
        <v>814</v>
      </c>
      <c r="C12" s="723" t="s">
        <v>776</v>
      </c>
      <c r="D12" s="724">
        <v>46028</v>
      </c>
      <c r="E12" s="723">
        <f t="shared" ref="E12" ca="1" si="4">_xlfn.DAYS(TODAY(),D12)</f>
        <v>57</v>
      </c>
      <c r="F12" s="723" t="s">
        <v>815</v>
      </c>
      <c r="G12" s="713" t="s">
        <v>423</v>
      </c>
      <c r="H12" s="723" t="s">
        <v>816</v>
      </c>
      <c r="I12" s="723" t="s">
        <v>817</v>
      </c>
      <c r="J12" s="723" t="s">
        <v>818</v>
      </c>
      <c r="K12" s="723" t="s">
        <v>427</v>
      </c>
      <c r="L12" s="713" t="s">
        <v>446</v>
      </c>
      <c r="M12" s="723" t="s">
        <v>422</v>
      </c>
      <c r="N12" s="789" t="s">
        <v>819</v>
      </c>
      <c r="O12" s="738">
        <v>7</v>
      </c>
      <c r="P12" s="738">
        <v>6</v>
      </c>
      <c r="Q12" s="677">
        <v>3</v>
      </c>
      <c r="R12" s="684"/>
      <c r="S12" s="684"/>
      <c r="T12" s="684"/>
      <c r="U12" s="684"/>
      <c r="V12" s="684"/>
      <c r="W12" s="684"/>
      <c r="X12" s="684"/>
      <c r="Y12" s="684"/>
      <c r="Z12" s="684"/>
      <c r="AA12" s="684"/>
      <c r="AB12" s="684"/>
      <c r="AC12" s="684"/>
      <c r="AD12" s="684"/>
      <c r="AE12" s="684"/>
      <c r="AF12" s="684"/>
      <c r="AG12" s="684"/>
      <c r="AH12" s="684"/>
      <c r="AI12" s="684"/>
      <c r="AJ12" s="684"/>
      <c r="AK12" s="684"/>
      <c r="AL12" s="684"/>
      <c r="AM12" s="684"/>
      <c r="AN12" s="684"/>
      <c r="AO12" s="684"/>
      <c r="AP12" s="684"/>
      <c r="AQ12" s="684"/>
      <c r="AR12" s="684"/>
      <c r="AS12" s="684"/>
      <c r="AT12" s="684"/>
      <c r="AU12" s="684"/>
      <c r="AV12" s="684"/>
      <c r="AW12" s="684"/>
      <c r="AX12" s="684"/>
      <c r="AY12" s="684"/>
      <c r="AZ12" s="684"/>
      <c r="BA12" s="684"/>
      <c r="BB12" s="684"/>
      <c r="BC12" s="684"/>
      <c r="BD12" s="684"/>
      <c r="BE12" s="684"/>
      <c r="BF12" s="684"/>
      <c r="BG12" s="684"/>
      <c r="BH12" s="684"/>
      <c r="BI12" s="684"/>
      <c r="BJ12" s="684"/>
      <c r="BK12" s="684"/>
      <c r="BL12" s="684"/>
      <c r="BM12" s="684"/>
      <c r="BN12" s="684"/>
      <c r="BO12" s="684"/>
      <c r="BP12" s="684"/>
      <c r="BQ12" s="684"/>
      <c r="BR12" s="684"/>
      <c r="BS12" s="684"/>
      <c r="BT12" s="684"/>
      <c r="BU12" s="684"/>
      <c r="BV12" s="684"/>
      <c r="BW12" s="684"/>
      <c r="BX12" s="684"/>
      <c r="BY12" s="684"/>
      <c r="BZ12" s="684"/>
      <c r="CA12" s="684"/>
      <c r="CB12" s="684"/>
      <c r="CC12" s="684"/>
      <c r="CD12" s="684"/>
      <c r="CE12" s="684"/>
      <c r="CF12" s="684"/>
      <c r="CG12" s="684"/>
      <c r="CH12" s="684"/>
      <c r="CI12" s="684"/>
      <c r="CJ12" s="684"/>
      <c r="CK12" s="684"/>
      <c r="CL12" s="684"/>
      <c r="CM12" s="684"/>
      <c r="CN12" s="684"/>
      <c r="CO12" s="684"/>
      <c r="CP12" s="684"/>
      <c r="CQ12" s="684"/>
      <c r="CR12" s="684"/>
      <c r="CS12" s="684"/>
      <c r="CT12" s="684"/>
      <c r="CU12" s="684"/>
      <c r="CV12" s="684"/>
      <c r="CW12" s="684"/>
      <c r="CX12" s="684"/>
    </row>
    <row r="13" spans="1:102" s="781" customFormat="1" ht="90.6" customHeight="1">
      <c r="A13" s="722" t="s">
        <v>270</v>
      </c>
      <c r="B13" s="722" t="s">
        <v>777</v>
      </c>
      <c r="C13" s="723" t="s">
        <v>97</v>
      </c>
      <c r="D13" s="724">
        <v>46028</v>
      </c>
      <c r="E13" s="723">
        <f ca="1">_xlfn.DAYS(TODAY(),D13)</f>
        <v>57</v>
      </c>
      <c r="F13" s="723" t="s">
        <v>815</v>
      </c>
      <c r="G13" s="723" t="s">
        <v>423</v>
      </c>
      <c r="H13" s="723" t="s">
        <v>816</v>
      </c>
      <c r="I13" s="723" t="s">
        <v>820</v>
      </c>
      <c r="J13" s="723" t="s">
        <v>818</v>
      </c>
      <c r="K13" s="723" t="s">
        <v>427</v>
      </c>
      <c r="L13" s="723" t="s">
        <v>446</v>
      </c>
      <c r="M13" s="723" t="s">
        <v>422</v>
      </c>
      <c r="N13" s="790" t="s">
        <v>821</v>
      </c>
      <c r="O13" s="738">
        <v>2</v>
      </c>
      <c r="P13" s="738">
        <v>1</v>
      </c>
      <c r="Q13" s="734">
        <v>1</v>
      </c>
      <c r="R13" s="684"/>
      <c r="S13" s="684"/>
      <c r="T13" s="684"/>
      <c r="U13" s="684"/>
      <c r="V13" s="684"/>
      <c r="W13" s="684"/>
      <c r="X13" s="684"/>
      <c r="Y13" s="684"/>
      <c r="Z13" s="684"/>
      <c r="AA13" s="684"/>
      <c r="AB13" s="684"/>
      <c r="AC13" s="684"/>
      <c r="AD13" s="684"/>
      <c r="AE13" s="684"/>
      <c r="AF13" s="684"/>
      <c r="AG13" s="684"/>
      <c r="AH13" s="684"/>
      <c r="AI13" s="684"/>
      <c r="AJ13" s="684"/>
      <c r="AK13" s="684"/>
      <c r="AL13" s="684"/>
      <c r="AM13" s="684"/>
      <c r="AN13" s="684"/>
      <c r="AO13" s="684"/>
      <c r="AP13" s="684"/>
      <c r="AQ13" s="684"/>
      <c r="AR13" s="684"/>
      <c r="AS13" s="684"/>
      <c r="AT13" s="684"/>
      <c r="AU13" s="684"/>
      <c r="AV13" s="684"/>
      <c r="AW13" s="684"/>
      <c r="AX13" s="684"/>
      <c r="AY13" s="684"/>
      <c r="AZ13" s="684"/>
      <c r="BA13" s="684"/>
      <c r="BB13" s="684"/>
      <c r="BC13" s="684"/>
      <c r="BD13" s="684"/>
      <c r="BE13" s="684"/>
      <c r="BF13" s="684"/>
      <c r="BG13" s="684"/>
      <c r="BH13" s="684"/>
      <c r="BI13" s="684"/>
      <c r="BJ13" s="684"/>
      <c r="BK13" s="684"/>
      <c r="BL13" s="684"/>
      <c r="BM13" s="684"/>
      <c r="BN13" s="684"/>
      <c r="BO13" s="684"/>
      <c r="BP13" s="684"/>
      <c r="BQ13" s="684"/>
      <c r="BR13" s="684"/>
      <c r="BS13" s="684"/>
      <c r="BT13" s="684"/>
      <c r="BU13" s="684"/>
      <c r="BV13" s="684"/>
      <c r="BW13" s="684"/>
      <c r="BX13" s="684"/>
      <c r="BY13" s="684"/>
      <c r="BZ13" s="684"/>
      <c r="CA13" s="684"/>
      <c r="CB13" s="684"/>
      <c r="CC13" s="684"/>
      <c r="CD13" s="684"/>
      <c r="CE13" s="684"/>
      <c r="CF13" s="684"/>
      <c r="CG13" s="684"/>
      <c r="CH13" s="684"/>
      <c r="CI13" s="684"/>
      <c r="CJ13" s="684"/>
      <c r="CK13" s="684"/>
      <c r="CL13" s="684"/>
      <c r="CM13" s="684"/>
      <c r="CN13" s="684"/>
      <c r="CO13" s="684"/>
      <c r="CP13" s="684"/>
      <c r="CQ13" s="684"/>
      <c r="CR13" s="684"/>
      <c r="CS13" s="684"/>
      <c r="CT13" s="684"/>
      <c r="CU13" s="684"/>
      <c r="CV13" s="684"/>
      <c r="CW13" s="684"/>
      <c r="CX13" s="684"/>
    </row>
    <row r="14" spans="1:102" s="781" customFormat="1" ht="90.6" customHeight="1">
      <c r="A14" s="722" t="s">
        <v>270</v>
      </c>
      <c r="B14" s="722" t="s">
        <v>822</v>
      </c>
      <c r="C14" s="723" t="s">
        <v>97</v>
      </c>
      <c r="D14" s="724">
        <v>46049</v>
      </c>
      <c r="E14" s="723">
        <f ca="1">_xlfn.DAYS(TODAY(),D14)</f>
        <v>36</v>
      </c>
      <c r="F14" s="723" t="s">
        <v>815</v>
      </c>
      <c r="G14" s="723" t="s">
        <v>423</v>
      </c>
      <c r="H14" s="723" t="s">
        <v>816</v>
      </c>
      <c r="I14" s="723" t="s">
        <v>823</v>
      </c>
      <c r="J14" s="723" t="s">
        <v>818</v>
      </c>
      <c r="K14" s="723" t="s">
        <v>427</v>
      </c>
      <c r="L14" s="723" t="s">
        <v>446</v>
      </c>
      <c r="M14" s="723" t="s">
        <v>422</v>
      </c>
      <c r="N14" s="789" t="s">
        <v>824</v>
      </c>
      <c r="O14" s="738">
        <v>3</v>
      </c>
      <c r="P14" s="738">
        <v>3</v>
      </c>
      <c r="Q14" s="734">
        <v>1</v>
      </c>
      <c r="R14" s="684"/>
      <c r="S14" s="684"/>
      <c r="T14" s="684"/>
      <c r="U14" s="684"/>
      <c r="V14" s="684"/>
      <c r="W14" s="684"/>
      <c r="X14" s="684"/>
      <c r="Y14" s="684"/>
      <c r="Z14" s="684"/>
      <c r="AA14" s="684"/>
      <c r="AB14" s="684"/>
      <c r="AC14" s="684"/>
      <c r="AD14" s="684"/>
      <c r="AE14" s="684"/>
      <c r="AF14" s="684"/>
      <c r="AG14" s="684"/>
      <c r="AH14" s="684"/>
      <c r="AI14" s="684"/>
      <c r="AJ14" s="684"/>
      <c r="AK14" s="684"/>
      <c r="AL14" s="684"/>
      <c r="AM14" s="684"/>
      <c r="AN14" s="684"/>
      <c r="AO14" s="684"/>
      <c r="AP14" s="684"/>
      <c r="AQ14" s="684"/>
      <c r="AR14" s="684"/>
      <c r="AS14" s="684"/>
      <c r="AT14" s="684"/>
      <c r="AU14" s="684"/>
      <c r="AV14" s="684"/>
      <c r="AW14" s="684"/>
      <c r="AX14" s="684"/>
      <c r="AY14" s="684"/>
      <c r="AZ14" s="684"/>
      <c r="BA14" s="684"/>
      <c r="BB14" s="684"/>
      <c r="BC14" s="684"/>
      <c r="BD14" s="684"/>
      <c r="BE14" s="684"/>
      <c r="BF14" s="684"/>
      <c r="BG14" s="684"/>
      <c r="BH14" s="684"/>
      <c r="BI14" s="684"/>
      <c r="BJ14" s="684"/>
      <c r="BK14" s="684"/>
      <c r="BL14" s="684"/>
      <c r="BM14" s="684"/>
      <c r="BN14" s="684"/>
      <c r="BO14" s="684"/>
      <c r="BP14" s="684"/>
      <c r="BQ14" s="684"/>
      <c r="BR14" s="684"/>
      <c r="BS14" s="684"/>
      <c r="BT14" s="684"/>
      <c r="BU14" s="684"/>
      <c r="BV14" s="684"/>
      <c r="BW14" s="684"/>
      <c r="BX14" s="684"/>
      <c r="BY14" s="684"/>
      <c r="BZ14" s="684"/>
      <c r="CA14" s="684"/>
      <c r="CB14" s="684"/>
      <c r="CC14" s="684"/>
      <c r="CD14" s="684"/>
      <c r="CE14" s="684"/>
      <c r="CF14" s="684"/>
      <c r="CG14" s="684"/>
      <c r="CH14" s="684"/>
      <c r="CI14" s="684"/>
      <c r="CJ14" s="684"/>
      <c r="CK14" s="684"/>
      <c r="CL14" s="684"/>
      <c r="CM14" s="684"/>
      <c r="CN14" s="684"/>
      <c r="CO14" s="684"/>
      <c r="CP14" s="684"/>
      <c r="CQ14" s="684"/>
      <c r="CR14" s="684"/>
      <c r="CS14" s="684"/>
      <c r="CT14" s="684"/>
      <c r="CU14" s="684"/>
      <c r="CV14" s="684"/>
      <c r="CW14" s="684"/>
      <c r="CX14" s="684"/>
    </row>
    <row r="15" spans="1:102" s="781" customFormat="1" ht="90.6" customHeight="1">
      <c r="A15" s="722" t="s">
        <v>270</v>
      </c>
      <c r="B15" s="722" t="s">
        <v>777</v>
      </c>
      <c r="C15" s="723" t="s">
        <v>66</v>
      </c>
      <c r="D15" s="724">
        <v>46077</v>
      </c>
      <c r="E15" s="723">
        <f ca="1">_xlfn.DAYS(TODAY(),D15)</f>
        <v>8</v>
      </c>
      <c r="F15" s="723"/>
      <c r="G15" s="723" t="s">
        <v>423</v>
      </c>
      <c r="H15" s="723" t="s">
        <v>816</v>
      </c>
      <c r="I15" s="723" t="s">
        <v>825</v>
      </c>
      <c r="J15" s="723" t="s">
        <v>826</v>
      </c>
      <c r="K15" s="723" t="s">
        <v>827</v>
      </c>
      <c r="L15" s="723" t="s">
        <v>418</v>
      </c>
      <c r="M15" s="723" t="s">
        <v>422</v>
      </c>
      <c r="N15" s="789" t="s">
        <v>828</v>
      </c>
      <c r="O15" s="738">
        <v>0.25</v>
      </c>
      <c r="P15" s="738">
        <v>0</v>
      </c>
      <c r="Q15" s="734">
        <v>1</v>
      </c>
      <c r="R15" s="684"/>
      <c r="S15" s="684"/>
      <c r="T15" s="684"/>
      <c r="U15" s="684"/>
      <c r="V15" s="684"/>
      <c r="W15" s="684"/>
      <c r="X15" s="684"/>
      <c r="Y15" s="684"/>
      <c r="Z15" s="684"/>
      <c r="AA15" s="684"/>
      <c r="AB15" s="684"/>
      <c r="AC15" s="684"/>
      <c r="AD15" s="684"/>
      <c r="AE15" s="684"/>
      <c r="AF15" s="684"/>
      <c r="AG15" s="684"/>
      <c r="AH15" s="684"/>
      <c r="AI15" s="684"/>
      <c r="AJ15" s="684"/>
      <c r="AK15" s="684"/>
      <c r="AL15" s="684"/>
      <c r="AM15" s="684"/>
      <c r="AN15" s="684"/>
      <c r="AO15" s="684"/>
      <c r="AP15" s="684"/>
      <c r="AQ15" s="684"/>
      <c r="AR15" s="684"/>
      <c r="AS15" s="684"/>
      <c r="AT15" s="684"/>
      <c r="AU15" s="684"/>
      <c r="AV15" s="684"/>
      <c r="AW15" s="684"/>
      <c r="AX15" s="684"/>
      <c r="AY15" s="684"/>
      <c r="AZ15" s="684"/>
      <c r="BA15" s="684"/>
      <c r="BB15" s="684"/>
      <c r="BC15" s="684"/>
      <c r="BD15" s="684"/>
      <c r="BE15" s="684"/>
      <c r="BF15" s="684"/>
      <c r="BG15" s="684"/>
      <c r="BH15" s="684"/>
      <c r="BI15" s="684"/>
      <c r="BJ15" s="684"/>
      <c r="BK15" s="684"/>
      <c r="BL15" s="684"/>
      <c r="BM15" s="684"/>
      <c r="BN15" s="684"/>
      <c r="BO15" s="684"/>
      <c r="BP15" s="684"/>
      <c r="BQ15" s="684"/>
      <c r="BR15" s="684"/>
      <c r="BS15" s="684"/>
      <c r="BT15" s="684"/>
      <c r="BU15" s="684"/>
      <c r="BV15" s="684"/>
      <c r="BW15" s="684"/>
      <c r="BX15" s="684"/>
      <c r="BY15" s="684"/>
      <c r="BZ15" s="684"/>
      <c r="CA15" s="684"/>
      <c r="CB15" s="684"/>
      <c r="CC15" s="684"/>
      <c r="CD15" s="684"/>
      <c r="CE15" s="684"/>
      <c r="CF15" s="684"/>
      <c r="CG15" s="684"/>
      <c r="CH15" s="684"/>
      <c r="CI15" s="684"/>
      <c r="CJ15" s="684"/>
      <c r="CK15" s="684"/>
      <c r="CL15" s="684"/>
      <c r="CM15" s="684"/>
      <c r="CN15" s="684"/>
      <c r="CO15" s="684"/>
      <c r="CP15" s="684"/>
      <c r="CQ15" s="684"/>
      <c r="CR15" s="684"/>
      <c r="CS15" s="684"/>
      <c r="CT15" s="684"/>
      <c r="CU15" s="684"/>
      <c r="CV15" s="684"/>
      <c r="CW15" s="684"/>
      <c r="CX15" s="684"/>
    </row>
    <row r="16" spans="1:102" s="781" customFormat="1" ht="90.6" customHeight="1">
      <c r="A16" s="722" t="s">
        <v>270</v>
      </c>
      <c r="B16" s="722" t="s">
        <v>777</v>
      </c>
      <c r="C16" s="723" t="s">
        <v>50</v>
      </c>
      <c r="D16" s="724">
        <v>46080</v>
      </c>
      <c r="E16" s="723">
        <f ca="1">_xlfn.DAYS(TODAY(),D16)</f>
        <v>5</v>
      </c>
      <c r="F16" s="723"/>
      <c r="G16" s="723" t="s">
        <v>423</v>
      </c>
      <c r="H16" s="723" t="s">
        <v>816</v>
      </c>
      <c r="I16" s="723" t="s">
        <v>436</v>
      </c>
      <c r="J16" s="723" t="s">
        <v>829</v>
      </c>
      <c r="K16" s="723" t="s">
        <v>827</v>
      </c>
      <c r="L16" s="723" t="s">
        <v>418</v>
      </c>
      <c r="M16" s="723" t="s">
        <v>422</v>
      </c>
      <c r="N16" s="789" t="s">
        <v>830</v>
      </c>
      <c r="O16" s="738">
        <v>0.25</v>
      </c>
      <c r="P16" s="738">
        <v>0</v>
      </c>
      <c r="Q16" s="734">
        <v>1</v>
      </c>
      <c r="R16" s="684"/>
      <c r="S16" s="684"/>
      <c r="T16" s="684"/>
      <c r="U16" s="684"/>
      <c r="V16" s="684"/>
      <c r="W16" s="684"/>
      <c r="X16" s="684"/>
      <c r="Y16" s="684"/>
      <c r="Z16" s="684"/>
      <c r="AA16" s="684"/>
      <c r="AB16" s="684"/>
      <c r="AC16" s="684"/>
      <c r="AD16" s="684"/>
      <c r="AE16" s="684"/>
      <c r="AF16" s="684"/>
      <c r="AG16" s="684"/>
      <c r="AH16" s="684"/>
      <c r="AI16" s="684"/>
      <c r="AJ16" s="684"/>
      <c r="AK16" s="684"/>
      <c r="AL16" s="684"/>
      <c r="AM16" s="684"/>
      <c r="AN16" s="684"/>
      <c r="AO16" s="684"/>
      <c r="AP16" s="684"/>
      <c r="AQ16" s="684"/>
      <c r="AR16" s="684"/>
      <c r="AS16" s="684"/>
      <c r="AT16" s="684"/>
      <c r="AU16" s="684"/>
      <c r="AV16" s="684"/>
      <c r="AW16" s="684"/>
      <c r="AX16" s="684"/>
      <c r="AY16" s="684"/>
      <c r="AZ16" s="684"/>
      <c r="BA16" s="684"/>
      <c r="BB16" s="684"/>
      <c r="BC16" s="684"/>
      <c r="BD16" s="684"/>
      <c r="BE16" s="684"/>
      <c r="BF16" s="684"/>
      <c r="BG16" s="684"/>
      <c r="BH16" s="684"/>
      <c r="BI16" s="684"/>
      <c r="BJ16" s="684"/>
      <c r="BK16" s="684"/>
      <c r="BL16" s="684"/>
      <c r="BM16" s="684"/>
      <c r="BN16" s="684"/>
      <c r="BO16" s="684"/>
      <c r="BP16" s="684"/>
      <c r="BQ16" s="684"/>
      <c r="BR16" s="684"/>
      <c r="BS16" s="684"/>
      <c r="BT16" s="684"/>
      <c r="BU16" s="684"/>
      <c r="BV16" s="684"/>
      <c r="BW16" s="684"/>
      <c r="BX16" s="684"/>
      <c r="BY16" s="684"/>
      <c r="BZ16" s="684"/>
      <c r="CA16" s="684"/>
      <c r="CB16" s="684"/>
      <c r="CC16" s="684"/>
      <c r="CD16" s="684"/>
      <c r="CE16" s="684"/>
      <c r="CF16" s="684"/>
      <c r="CG16" s="684"/>
      <c r="CH16" s="684"/>
      <c r="CI16" s="684"/>
      <c r="CJ16" s="684"/>
      <c r="CK16" s="684"/>
      <c r="CL16" s="684"/>
      <c r="CM16" s="684"/>
      <c r="CN16" s="684"/>
      <c r="CO16" s="684"/>
      <c r="CP16" s="684"/>
      <c r="CQ16" s="684"/>
      <c r="CR16" s="684"/>
      <c r="CS16" s="684"/>
      <c r="CT16" s="684"/>
      <c r="CU16" s="684"/>
      <c r="CV16" s="684"/>
      <c r="CW16" s="684"/>
      <c r="CX16" s="684"/>
    </row>
    <row r="17" spans="1:17" s="684" customFormat="1" ht="113.25">
      <c r="A17" s="712" t="s">
        <v>270</v>
      </c>
      <c r="B17" s="722" t="s">
        <v>831</v>
      </c>
      <c r="C17" s="723" t="s">
        <v>776</v>
      </c>
      <c r="D17" s="724">
        <v>46084</v>
      </c>
      <c r="E17" s="723">
        <f t="shared" ref="E17" ca="1" si="5">_xlfn.DAYS(TODAY(),D17)</f>
        <v>1</v>
      </c>
      <c r="F17" s="723" t="s">
        <v>815</v>
      </c>
      <c r="G17" s="795" t="s">
        <v>423</v>
      </c>
      <c r="H17" s="794" t="s">
        <v>832</v>
      </c>
      <c r="I17" s="794" t="s">
        <v>833</v>
      </c>
      <c r="J17" s="723" t="s">
        <v>834</v>
      </c>
      <c r="K17" s="723" t="s">
        <v>835</v>
      </c>
      <c r="L17" s="713" t="s">
        <v>418</v>
      </c>
      <c r="M17" s="723" t="s">
        <v>422</v>
      </c>
      <c r="N17" s="789" t="s">
        <v>836</v>
      </c>
      <c r="O17" s="738">
        <v>30</v>
      </c>
      <c r="P17" s="738">
        <v>30</v>
      </c>
      <c r="Q17" s="677">
        <v>2</v>
      </c>
    </row>
    <row r="18" spans="1:17" s="684" customFormat="1" ht="67.5" customHeight="1">
      <c r="A18" s="712" t="s">
        <v>270</v>
      </c>
      <c r="B18" s="712" t="s">
        <v>837</v>
      </c>
      <c r="C18" s="723" t="s">
        <v>776</v>
      </c>
      <c r="D18" s="714">
        <v>46048</v>
      </c>
      <c r="E18" s="713">
        <f ca="1">_xlfn.DAYS(TODAY(),D18)</f>
        <v>37</v>
      </c>
      <c r="F18" s="713"/>
      <c r="G18" s="713" t="s">
        <v>441</v>
      </c>
      <c r="H18" s="717" t="s">
        <v>442</v>
      </c>
      <c r="I18" s="713" t="s">
        <v>838</v>
      </c>
      <c r="J18" s="715" t="s">
        <v>839</v>
      </c>
      <c r="K18" s="713" t="s">
        <v>445</v>
      </c>
      <c r="L18" s="713" t="s">
        <v>446</v>
      </c>
      <c r="M18" s="723" t="s">
        <v>422</v>
      </c>
      <c r="N18" s="789" t="s">
        <v>840</v>
      </c>
      <c r="O18" s="678">
        <v>3</v>
      </c>
      <c r="P18" s="678">
        <v>1.5</v>
      </c>
      <c r="Q18" s="677">
        <v>1</v>
      </c>
    </row>
    <row r="19" spans="1:17" s="684" customFormat="1" ht="76.5" customHeight="1">
      <c r="A19" s="722" t="s">
        <v>270</v>
      </c>
      <c r="B19" s="722"/>
      <c r="C19" s="723" t="s">
        <v>776</v>
      </c>
      <c r="D19" s="724">
        <v>46028</v>
      </c>
      <c r="E19" s="723">
        <f ca="1">_xlfn.DAYS(TODAY(),D19)</f>
        <v>57</v>
      </c>
      <c r="F19" s="723">
        <v>178528</v>
      </c>
      <c r="G19" s="723" t="s">
        <v>451</v>
      </c>
      <c r="H19" s="723" t="s">
        <v>459</v>
      </c>
      <c r="I19" s="723" t="s">
        <v>841</v>
      </c>
      <c r="J19" s="723" t="s">
        <v>764</v>
      </c>
      <c r="K19" s="723" t="s">
        <v>462</v>
      </c>
      <c r="L19" s="723" t="s">
        <v>418</v>
      </c>
      <c r="M19" s="723" t="s">
        <v>765</v>
      </c>
      <c r="N19" s="790" t="s">
        <v>842</v>
      </c>
      <c r="O19" s="738">
        <v>9</v>
      </c>
      <c r="P19" s="738">
        <v>9</v>
      </c>
      <c r="Q19" s="677">
        <v>1</v>
      </c>
    </row>
    <row r="20" spans="1:17" s="684" customFormat="1" ht="92.25" customHeight="1">
      <c r="A20" s="722" t="s">
        <v>270</v>
      </c>
      <c r="B20" s="722" t="s">
        <v>843</v>
      </c>
      <c r="C20" s="723" t="s">
        <v>776</v>
      </c>
      <c r="D20" s="724">
        <v>46035</v>
      </c>
      <c r="E20" s="723">
        <f ca="1">_xlfn.DAYS(TODAY(),D20)</f>
        <v>50</v>
      </c>
      <c r="F20" s="723">
        <v>178528</v>
      </c>
      <c r="G20" s="723" t="s">
        <v>451</v>
      </c>
      <c r="H20" s="723" t="s">
        <v>459</v>
      </c>
      <c r="I20" s="723" t="s">
        <v>844</v>
      </c>
      <c r="J20" s="723" t="s">
        <v>764</v>
      </c>
      <c r="K20" s="723" t="s">
        <v>845</v>
      </c>
      <c r="L20" s="723" t="s">
        <v>418</v>
      </c>
      <c r="M20" s="723" t="s">
        <v>765</v>
      </c>
      <c r="N20" s="790" t="s">
        <v>846</v>
      </c>
      <c r="O20" s="738">
        <v>1</v>
      </c>
      <c r="P20" s="738">
        <v>1</v>
      </c>
      <c r="Q20" s="677">
        <v>1</v>
      </c>
    </row>
    <row r="21" spans="1:17" s="684" customFormat="1" ht="92.25" customHeight="1">
      <c r="A21" s="722" t="s">
        <v>270</v>
      </c>
      <c r="B21" s="722" t="s">
        <v>847</v>
      </c>
      <c r="C21" s="723" t="s">
        <v>776</v>
      </c>
      <c r="D21" s="724">
        <v>46077</v>
      </c>
      <c r="E21" s="723">
        <f ca="1">_xlfn.DAYS(TODAY(),D21)</f>
        <v>8</v>
      </c>
      <c r="F21" s="723">
        <v>178528</v>
      </c>
      <c r="G21" s="723" t="s">
        <v>451</v>
      </c>
      <c r="H21" s="723" t="s">
        <v>459</v>
      </c>
      <c r="I21" s="723" t="s">
        <v>848</v>
      </c>
      <c r="J21" s="723" t="s">
        <v>764</v>
      </c>
      <c r="K21" s="723" t="s">
        <v>849</v>
      </c>
      <c r="L21" s="723" t="s">
        <v>418</v>
      </c>
      <c r="M21" s="723" t="s">
        <v>765</v>
      </c>
      <c r="N21" s="790" t="s">
        <v>850</v>
      </c>
      <c r="O21" s="738">
        <v>1</v>
      </c>
      <c r="P21" s="738">
        <v>1</v>
      </c>
      <c r="Q21" s="677">
        <v>1</v>
      </c>
    </row>
    <row r="22" spans="1:17" s="684" customFormat="1" ht="15" customHeight="1">
      <c r="A22" s="775"/>
      <c r="B22" s="720"/>
      <c r="C22" s="694" t="s">
        <v>851</v>
      </c>
      <c r="D22" s="699"/>
      <c r="E22" s="700"/>
      <c r="F22" s="700"/>
      <c r="G22" s="700"/>
      <c r="H22" s="701"/>
      <c r="I22" s="702"/>
      <c r="J22" s="701"/>
      <c r="K22" s="702"/>
      <c r="L22" s="702"/>
      <c r="M22" s="701"/>
      <c r="N22" s="721"/>
      <c r="O22" s="697"/>
      <c r="P22" s="697"/>
      <c r="Q22" s="698"/>
    </row>
    <row r="23" spans="1:17" s="684" customFormat="1" ht="15" customHeight="1">
      <c r="A23" s="692"/>
      <c r="B23" s="692"/>
      <c r="C23" s="694" t="s">
        <v>852</v>
      </c>
      <c r="D23" s="693"/>
      <c r="E23" s="700"/>
      <c r="F23" s="700"/>
      <c r="G23" s="700"/>
      <c r="H23" s="694"/>
      <c r="I23" s="695"/>
      <c r="J23" s="694"/>
      <c r="K23" s="695"/>
      <c r="L23" s="695"/>
      <c r="M23" s="694"/>
      <c r="N23" s="696"/>
      <c r="O23" s="703"/>
      <c r="P23" s="703"/>
      <c r="Q23" s="704"/>
    </row>
    <row r="24" spans="1:17" s="684" customFormat="1" ht="69" customHeight="1">
      <c r="A24" s="712" t="s">
        <v>269</v>
      </c>
      <c r="B24" s="712" t="s">
        <v>777</v>
      </c>
      <c r="C24" s="713" t="s">
        <v>852</v>
      </c>
      <c r="D24" s="714">
        <v>46057</v>
      </c>
      <c r="E24" s="713">
        <f ca="1">_xlfn.DAYS(TODAY(),D24)</f>
        <v>28</v>
      </c>
      <c r="F24" s="713"/>
      <c r="G24" s="713" t="s">
        <v>521</v>
      </c>
      <c r="H24" s="731" t="s">
        <v>853</v>
      </c>
      <c r="I24" s="713" t="s">
        <v>854</v>
      </c>
      <c r="J24" s="713" t="s">
        <v>855</v>
      </c>
      <c r="K24" s="713" t="s">
        <v>41</v>
      </c>
      <c r="L24" s="713" t="s">
        <v>323</v>
      </c>
      <c r="M24" s="713" t="s">
        <v>485</v>
      </c>
      <c r="N24" s="758" t="s">
        <v>856</v>
      </c>
      <c r="O24" s="675">
        <v>0.25</v>
      </c>
      <c r="P24" s="675">
        <v>0.25</v>
      </c>
      <c r="Q24" s="677">
        <v>3</v>
      </c>
    </row>
    <row r="25" spans="1:17" s="684" customFormat="1" ht="17.25" customHeight="1">
      <c r="A25" s="692"/>
      <c r="B25" s="692" t="s">
        <v>487</v>
      </c>
      <c r="C25" s="694" t="s">
        <v>857</v>
      </c>
      <c r="D25" s="693"/>
      <c r="E25" s="700"/>
      <c r="F25" s="700"/>
      <c r="G25" s="700"/>
      <c r="H25" s="694"/>
      <c r="I25" s="695"/>
      <c r="J25" s="694"/>
      <c r="K25" s="695"/>
      <c r="L25" s="695"/>
      <c r="M25" s="694"/>
      <c r="N25" s="696"/>
      <c r="O25" s="703"/>
      <c r="P25" s="703"/>
      <c r="Q25" s="704"/>
    </row>
    <row r="26" spans="1:17" s="684" customFormat="1" ht="117.6" customHeight="1">
      <c r="A26" s="712" t="s">
        <v>270</v>
      </c>
      <c r="B26" s="712" t="s">
        <v>858</v>
      </c>
      <c r="C26" s="723" t="s">
        <v>857</v>
      </c>
      <c r="D26" s="714">
        <v>45919</v>
      </c>
      <c r="E26" s="713">
        <f t="shared" ref="E26" ca="1" si="6">_xlfn.DAYS(TODAY(),D26)</f>
        <v>166</v>
      </c>
      <c r="F26" s="713" t="s">
        <v>859</v>
      </c>
      <c r="G26" s="713" t="s">
        <v>441</v>
      </c>
      <c r="H26" s="717" t="s">
        <v>860</v>
      </c>
      <c r="I26" s="713" t="s">
        <v>491</v>
      </c>
      <c r="J26" s="715" t="s">
        <v>861</v>
      </c>
      <c r="K26" s="713" t="s">
        <v>119</v>
      </c>
      <c r="L26" s="713" t="s">
        <v>295</v>
      </c>
      <c r="M26" s="713" t="s">
        <v>862</v>
      </c>
      <c r="N26" s="789" t="s">
        <v>863</v>
      </c>
      <c r="O26" s="680">
        <v>36</v>
      </c>
      <c r="P26" s="680">
        <v>32</v>
      </c>
      <c r="Q26" s="757">
        <v>4</v>
      </c>
    </row>
    <row r="27" spans="1:17" s="684" customFormat="1" ht="109.5" customHeight="1">
      <c r="A27" s="712" t="s">
        <v>270</v>
      </c>
      <c r="B27" s="722" t="s">
        <v>864</v>
      </c>
      <c r="C27" s="723" t="s">
        <v>857</v>
      </c>
      <c r="D27" s="724">
        <v>46008</v>
      </c>
      <c r="E27" s="723">
        <f ca="1">_xlfn.DAYS(TODAY(),D27)</f>
        <v>77</v>
      </c>
      <c r="F27" s="723">
        <v>184212</v>
      </c>
      <c r="G27" s="713" t="s">
        <v>451</v>
      </c>
      <c r="H27" s="731" t="s">
        <v>291</v>
      </c>
      <c r="I27" s="723" t="s">
        <v>865</v>
      </c>
      <c r="J27" s="723" t="s">
        <v>866</v>
      </c>
      <c r="K27" s="723" t="s">
        <v>512</v>
      </c>
      <c r="L27" s="713" t="s">
        <v>446</v>
      </c>
      <c r="M27" s="723" t="s">
        <v>754</v>
      </c>
      <c r="N27" s="789" t="s">
        <v>867</v>
      </c>
      <c r="O27" s="733">
        <v>20</v>
      </c>
      <c r="P27" s="733">
        <v>16</v>
      </c>
      <c r="Q27" s="761">
        <v>3</v>
      </c>
    </row>
    <row r="28" spans="1:17" s="684" customFormat="1" ht="63.75" customHeight="1">
      <c r="A28" s="712" t="s">
        <v>270</v>
      </c>
      <c r="B28" s="722"/>
      <c r="C28" s="723" t="s">
        <v>857</v>
      </c>
      <c r="D28" s="724">
        <v>46045</v>
      </c>
      <c r="E28" s="723">
        <f ca="1">_xlfn.DAYS(TODAY(),D28)</f>
        <v>40</v>
      </c>
      <c r="F28" s="735"/>
      <c r="G28" s="713" t="s">
        <v>451</v>
      </c>
      <c r="H28" s="731" t="s">
        <v>868</v>
      </c>
      <c r="I28" s="723" t="s">
        <v>453</v>
      </c>
      <c r="J28" s="723" t="s">
        <v>869</v>
      </c>
      <c r="K28" s="723" t="s">
        <v>455</v>
      </c>
      <c r="L28" s="713" t="s">
        <v>323</v>
      </c>
      <c r="M28" s="713" t="s">
        <v>862</v>
      </c>
      <c r="N28" s="790" t="s">
        <v>870</v>
      </c>
      <c r="O28" s="678">
        <v>36.5</v>
      </c>
      <c r="P28" s="678">
        <v>33</v>
      </c>
      <c r="Q28" s="679">
        <v>1</v>
      </c>
    </row>
    <row r="29" spans="1:17" s="684" customFormat="1" ht="63.75" customHeight="1">
      <c r="A29" s="712" t="s">
        <v>270</v>
      </c>
      <c r="B29" s="712" t="s">
        <v>871</v>
      </c>
      <c r="C29" s="723" t="s">
        <v>857</v>
      </c>
      <c r="D29" s="714">
        <v>46059</v>
      </c>
      <c r="E29" s="735">
        <f ca="1">_xlfn.DAYS(TODAY(),D29)</f>
        <v>26</v>
      </c>
      <c r="F29" s="735"/>
      <c r="G29" s="713" t="s">
        <v>451</v>
      </c>
      <c r="H29" s="717" t="s">
        <v>291</v>
      </c>
      <c r="I29" s="713" t="s">
        <v>497</v>
      </c>
      <c r="J29" s="715" t="s">
        <v>872</v>
      </c>
      <c r="K29" s="713" t="s">
        <v>512</v>
      </c>
      <c r="L29" s="713" t="s">
        <v>446</v>
      </c>
      <c r="M29" s="723" t="s">
        <v>754</v>
      </c>
      <c r="N29" s="789" t="s">
        <v>873</v>
      </c>
      <c r="O29" s="678">
        <v>2</v>
      </c>
      <c r="P29" s="678">
        <v>2</v>
      </c>
      <c r="Q29" s="679">
        <v>1</v>
      </c>
    </row>
    <row r="30" spans="1:17" s="684" customFormat="1" ht="71.25" customHeight="1">
      <c r="A30" s="712" t="s">
        <v>270</v>
      </c>
      <c r="B30" s="722" t="s">
        <v>874</v>
      </c>
      <c r="C30" s="723" t="s">
        <v>857</v>
      </c>
      <c r="D30" s="724">
        <v>46054</v>
      </c>
      <c r="E30" s="735">
        <f ca="1">_xlfn.DAYS(TODAY(),D30)</f>
        <v>31</v>
      </c>
      <c r="F30" s="735"/>
      <c r="G30" s="713" t="s">
        <v>521</v>
      </c>
      <c r="H30" s="731" t="s">
        <v>522</v>
      </c>
      <c r="I30" s="723" t="s">
        <v>875</v>
      </c>
      <c r="J30" s="723" t="s">
        <v>876</v>
      </c>
      <c r="K30" s="723" t="s">
        <v>41</v>
      </c>
      <c r="L30" s="713" t="s">
        <v>323</v>
      </c>
      <c r="M30" s="713" t="s">
        <v>862</v>
      </c>
      <c r="N30" s="790" t="s">
        <v>877</v>
      </c>
      <c r="O30" s="733">
        <v>26</v>
      </c>
      <c r="P30" s="733">
        <v>23</v>
      </c>
      <c r="Q30" s="761">
        <v>3</v>
      </c>
    </row>
    <row r="31" spans="1:17" s="684" customFormat="1" ht="70.5" customHeight="1">
      <c r="A31" s="712" t="s">
        <v>270</v>
      </c>
      <c r="B31" s="722" t="s">
        <v>878</v>
      </c>
      <c r="C31" s="723" t="s">
        <v>857</v>
      </c>
      <c r="D31" s="724">
        <v>46062</v>
      </c>
      <c r="E31" s="735">
        <f ca="1">_xlfn.DAYS(TODAY(),D31)</f>
        <v>23</v>
      </c>
      <c r="F31" s="735"/>
      <c r="G31" s="713" t="s">
        <v>521</v>
      </c>
      <c r="H31" s="731" t="s">
        <v>522</v>
      </c>
      <c r="I31" s="723" t="s">
        <v>879</v>
      </c>
      <c r="J31" s="723" t="s">
        <v>876</v>
      </c>
      <c r="K31" s="723" t="s">
        <v>41</v>
      </c>
      <c r="L31" s="713" t="s">
        <v>323</v>
      </c>
      <c r="M31" s="713" t="s">
        <v>862</v>
      </c>
      <c r="N31" s="790" t="s">
        <v>880</v>
      </c>
      <c r="O31" s="733">
        <v>4</v>
      </c>
      <c r="P31" s="733">
        <v>3</v>
      </c>
      <c r="Q31" s="761">
        <v>1</v>
      </c>
    </row>
    <row r="32" spans="1:17" s="684" customFormat="1" ht="27" customHeight="1">
      <c r="A32" s="692"/>
      <c r="B32" s="692" t="s">
        <v>487</v>
      </c>
      <c r="C32" s="694" t="s">
        <v>881</v>
      </c>
      <c r="D32" s="693"/>
      <c r="E32" s="700"/>
      <c r="F32" s="700"/>
      <c r="G32" s="700"/>
      <c r="H32" s="694"/>
      <c r="I32" s="695"/>
      <c r="J32" s="694"/>
      <c r="K32" s="695"/>
      <c r="L32" s="695"/>
      <c r="M32" s="694"/>
      <c r="N32" s="696"/>
      <c r="O32" s="697"/>
      <c r="P32" s="697"/>
      <c r="Q32" s="698"/>
    </row>
    <row r="33" spans="1:17" s="684" customFormat="1" ht="92.45" customHeight="1">
      <c r="A33" s="712" t="s">
        <v>270</v>
      </c>
      <c r="B33" s="712" t="s">
        <v>882</v>
      </c>
      <c r="C33" s="713" t="s">
        <v>881</v>
      </c>
      <c r="D33" s="714">
        <v>45908</v>
      </c>
      <c r="E33" s="713">
        <f ca="1">_xlfn.DAYS(TODAY(),D33)</f>
        <v>177</v>
      </c>
      <c r="F33" s="713">
        <v>176741</v>
      </c>
      <c r="G33" s="713" t="s">
        <v>441</v>
      </c>
      <c r="H33" s="713" t="s">
        <v>490</v>
      </c>
      <c r="I33" s="713" t="s">
        <v>538</v>
      </c>
      <c r="J33" s="713" t="s">
        <v>539</v>
      </c>
      <c r="K33" s="713" t="s">
        <v>119</v>
      </c>
      <c r="L33" s="713" t="s">
        <v>295</v>
      </c>
      <c r="M33" s="713" t="s">
        <v>883</v>
      </c>
      <c r="N33" s="789" t="s">
        <v>884</v>
      </c>
      <c r="O33" s="678">
        <v>4</v>
      </c>
      <c r="P33" s="678">
        <v>4</v>
      </c>
      <c r="Q33" s="677">
        <v>1</v>
      </c>
    </row>
    <row r="34" spans="1:17" s="736" customFormat="1" ht="70.150000000000006" customHeight="1">
      <c r="A34" s="712" t="s">
        <v>270</v>
      </c>
      <c r="B34" s="722" t="s">
        <v>885</v>
      </c>
      <c r="C34" s="723" t="s">
        <v>881</v>
      </c>
      <c r="D34" s="724">
        <v>46079</v>
      </c>
      <c r="E34" s="723">
        <f ca="1">_xlfn.DAYS(TODAY(),D34)</f>
        <v>6</v>
      </c>
      <c r="F34" s="723">
        <v>179002</v>
      </c>
      <c r="G34" s="713" t="s">
        <v>451</v>
      </c>
      <c r="H34" s="731" t="s">
        <v>291</v>
      </c>
      <c r="I34" s="723" t="s">
        <v>886</v>
      </c>
      <c r="J34" s="723" t="s">
        <v>866</v>
      </c>
      <c r="K34" s="723" t="s">
        <v>62</v>
      </c>
      <c r="L34" s="713" t="s">
        <v>330</v>
      </c>
      <c r="M34" s="723" t="s">
        <v>887</v>
      </c>
      <c r="N34" s="760" t="s">
        <v>888</v>
      </c>
      <c r="O34" s="733">
        <v>4</v>
      </c>
      <c r="P34" s="733">
        <v>4</v>
      </c>
      <c r="Q34" s="761">
        <v>1</v>
      </c>
    </row>
    <row r="35" spans="1:17" s="736" customFormat="1" ht="70.150000000000006" customHeight="1">
      <c r="A35" s="712" t="s">
        <v>270</v>
      </c>
      <c r="B35" s="722" t="s">
        <v>889</v>
      </c>
      <c r="C35" s="723" t="s">
        <v>890</v>
      </c>
      <c r="D35" s="724">
        <v>45971</v>
      </c>
      <c r="E35" s="723">
        <f ca="1">_xlfn.DAYS(TODAY(),D35)</f>
        <v>114</v>
      </c>
      <c r="F35" s="723">
        <v>179002</v>
      </c>
      <c r="G35" s="713" t="s">
        <v>451</v>
      </c>
      <c r="H35" s="731" t="s">
        <v>291</v>
      </c>
      <c r="I35" s="723" t="s">
        <v>891</v>
      </c>
      <c r="J35" s="723" t="s">
        <v>892</v>
      </c>
      <c r="K35" s="723" t="s">
        <v>62</v>
      </c>
      <c r="L35" s="713" t="s">
        <v>330</v>
      </c>
      <c r="M35" s="723" t="s">
        <v>887</v>
      </c>
      <c r="N35" s="760" t="s">
        <v>893</v>
      </c>
      <c r="O35" s="733">
        <v>2</v>
      </c>
      <c r="P35" s="733">
        <v>0</v>
      </c>
      <c r="Q35" s="761">
        <v>2</v>
      </c>
    </row>
    <row r="36" spans="1:17" s="684" customFormat="1" ht="69" customHeight="1">
      <c r="A36" s="712" t="s">
        <v>270</v>
      </c>
      <c r="B36" s="712" t="s">
        <v>777</v>
      </c>
      <c r="C36" s="713" t="s">
        <v>881</v>
      </c>
      <c r="D36" s="714">
        <v>46055</v>
      </c>
      <c r="E36" s="735">
        <f ca="1">_xlfn.DAYS(TODAY(),D36)</f>
        <v>30</v>
      </c>
      <c r="F36" s="713" t="s">
        <v>894</v>
      </c>
      <c r="G36" s="713" t="s">
        <v>521</v>
      </c>
      <c r="H36" s="713" t="s">
        <v>853</v>
      </c>
      <c r="I36" s="713" t="s">
        <v>895</v>
      </c>
      <c r="J36" s="713" t="s">
        <v>855</v>
      </c>
      <c r="K36" s="713" t="s">
        <v>41</v>
      </c>
      <c r="L36" s="713" t="s">
        <v>323</v>
      </c>
      <c r="M36" s="713" t="s">
        <v>883</v>
      </c>
      <c r="N36" s="716" t="s">
        <v>896</v>
      </c>
      <c r="O36" s="678">
        <v>0.25</v>
      </c>
      <c r="P36" s="678">
        <v>0.25</v>
      </c>
      <c r="Q36" s="677">
        <v>3</v>
      </c>
    </row>
    <row r="37" spans="1:17" s="684" customFormat="1" ht="21" customHeight="1">
      <c r="A37" s="692"/>
      <c r="B37" s="692" t="s">
        <v>487</v>
      </c>
      <c r="C37" s="694" t="s">
        <v>897</v>
      </c>
      <c r="D37" s="693"/>
      <c r="E37" s="705"/>
      <c r="F37" s="705"/>
      <c r="G37" s="705"/>
      <c r="H37" s="694"/>
      <c r="I37" s="695"/>
      <c r="J37" s="694"/>
      <c r="K37" s="695"/>
      <c r="L37" s="695"/>
      <c r="M37" s="694"/>
      <c r="N37" s="706"/>
      <c r="O37" s="697"/>
      <c r="P37" s="697"/>
      <c r="Q37" s="698"/>
    </row>
    <row r="38" spans="1:17" s="684" customFormat="1" ht="43.9" customHeight="1">
      <c r="A38" s="726"/>
      <c r="B38" s="726"/>
      <c r="C38" s="726"/>
      <c r="D38" s="725"/>
      <c r="E38" s="725"/>
      <c r="F38" s="725"/>
      <c r="G38" s="725"/>
      <c r="H38" s="725"/>
      <c r="I38" s="725"/>
      <c r="J38" s="708" t="s">
        <v>555</v>
      </c>
      <c r="K38" s="707"/>
      <c r="L38" s="707"/>
      <c r="M38" s="707"/>
      <c r="N38" s="707"/>
      <c r="O38" s="697"/>
      <c r="P38" s="697"/>
      <c r="Q38" s="698"/>
    </row>
    <row r="39" spans="1:17" s="684" customFormat="1" ht="32.25" customHeight="1">
      <c r="A39" s="730"/>
      <c r="B39" s="730" t="s">
        <v>556</v>
      </c>
      <c r="C39" s="729" t="s">
        <v>50</v>
      </c>
      <c r="D39" s="728"/>
      <c r="E39" s="727"/>
      <c r="F39" s="727"/>
      <c r="G39" s="727"/>
      <c r="H39" s="729"/>
      <c r="I39" s="729"/>
      <c r="J39" s="694"/>
      <c r="K39" s="695"/>
      <c r="L39" s="695"/>
      <c r="M39" s="694"/>
      <c r="N39" s="709"/>
      <c r="O39" s="697"/>
      <c r="P39" s="697"/>
      <c r="Q39" s="698"/>
    </row>
    <row r="40" spans="1:17" s="684" customFormat="1" ht="104.25" customHeight="1">
      <c r="A40" s="712" t="s">
        <v>270</v>
      </c>
      <c r="B40" s="712" t="s">
        <v>777</v>
      </c>
      <c r="C40" s="713" t="s">
        <v>50</v>
      </c>
      <c r="D40" s="714">
        <v>46028</v>
      </c>
      <c r="E40" s="713">
        <f t="shared" ref="E40" ca="1" si="7">_xlfn.DAYS(TODAY(),D40)</f>
        <v>57</v>
      </c>
      <c r="F40" s="715">
        <v>176834</v>
      </c>
      <c r="G40" s="713" t="s">
        <v>441</v>
      </c>
      <c r="H40" s="717" t="s">
        <v>490</v>
      </c>
      <c r="I40" s="713" t="s">
        <v>898</v>
      </c>
      <c r="J40" s="715" t="s">
        <v>899</v>
      </c>
      <c r="K40" s="713" t="s">
        <v>48</v>
      </c>
      <c r="L40" s="713" t="s">
        <v>446</v>
      </c>
      <c r="M40" s="713" t="s">
        <v>900</v>
      </c>
      <c r="N40" s="790" t="s">
        <v>901</v>
      </c>
      <c r="O40" s="678">
        <v>8</v>
      </c>
      <c r="P40" s="678">
        <v>8</v>
      </c>
      <c r="Q40" s="677">
        <v>2</v>
      </c>
    </row>
    <row r="41" spans="1:17" s="684" customFormat="1" ht="104.25" customHeight="1">
      <c r="A41" s="722" t="s">
        <v>270</v>
      </c>
      <c r="B41" s="722" t="s">
        <v>902</v>
      </c>
      <c r="C41" s="713" t="s">
        <v>50</v>
      </c>
      <c r="D41" s="724">
        <v>46043</v>
      </c>
      <c r="E41" s="723">
        <f ca="1">_xlfn.DAYS(TODAY(),D41)</f>
        <v>42</v>
      </c>
      <c r="F41" s="732">
        <v>184220</v>
      </c>
      <c r="G41" s="723" t="s">
        <v>502</v>
      </c>
      <c r="H41" s="723" t="s">
        <v>503</v>
      </c>
      <c r="I41" s="723" t="s">
        <v>566</v>
      </c>
      <c r="J41" s="732" t="s">
        <v>899</v>
      </c>
      <c r="K41" s="723" t="s">
        <v>903</v>
      </c>
      <c r="L41" s="723" t="s">
        <v>446</v>
      </c>
      <c r="M41" s="723" t="s">
        <v>883</v>
      </c>
      <c r="N41" s="798" t="s">
        <v>904</v>
      </c>
      <c r="O41" s="733">
        <v>6</v>
      </c>
      <c r="P41" s="733">
        <v>6</v>
      </c>
      <c r="Q41" s="734">
        <v>1</v>
      </c>
    </row>
    <row r="42" spans="1:17" s="684" customFormat="1" ht="72.75" customHeight="1">
      <c r="A42" s="722" t="s">
        <v>269</v>
      </c>
      <c r="B42" s="722" t="s">
        <v>269</v>
      </c>
      <c r="C42" s="723" t="s">
        <v>50</v>
      </c>
      <c r="D42" s="724">
        <v>46065</v>
      </c>
      <c r="E42" s="732">
        <f ca="1">_xlfn.DAYS(TODAY(),D42)</f>
        <v>20</v>
      </c>
      <c r="F42" s="723">
        <v>178677</v>
      </c>
      <c r="G42" s="723" t="s">
        <v>521</v>
      </c>
      <c r="H42" s="731" t="s">
        <v>905</v>
      </c>
      <c r="I42" s="723" t="s">
        <v>906</v>
      </c>
      <c r="J42" s="723" t="s">
        <v>907</v>
      </c>
      <c r="K42" s="723" t="s">
        <v>14</v>
      </c>
      <c r="L42" s="723" t="s">
        <v>749</v>
      </c>
      <c r="M42" s="723" t="s">
        <v>908</v>
      </c>
      <c r="N42" s="790" t="s">
        <v>909</v>
      </c>
      <c r="O42" s="733">
        <v>1.75</v>
      </c>
      <c r="P42" s="733">
        <v>1.75</v>
      </c>
      <c r="Q42" s="734">
        <v>2</v>
      </c>
    </row>
    <row r="43" spans="1:17" s="684" customFormat="1" ht="19.899999999999999" customHeight="1">
      <c r="A43" s="692"/>
      <c r="B43" s="692" t="s">
        <v>556</v>
      </c>
      <c r="C43" s="694" t="s">
        <v>59</v>
      </c>
      <c r="D43" s="699"/>
      <c r="E43" s="700"/>
      <c r="F43" s="700"/>
      <c r="G43" s="700"/>
      <c r="H43" s="701"/>
      <c r="I43" s="701"/>
      <c r="J43" s="701"/>
      <c r="K43" s="702"/>
      <c r="L43" s="702"/>
      <c r="M43" s="701"/>
      <c r="N43" s="710"/>
      <c r="O43" s="697"/>
      <c r="P43" s="697"/>
      <c r="Q43" s="698"/>
    </row>
    <row r="44" spans="1:17" s="684" customFormat="1" ht="72">
      <c r="A44" s="722" t="s">
        <v>270</v>
      </c>
      <c r="B44" s="722" t="s">
        <v>910</v>
      </c>
      <c r="C44" s="723" t="s">
        <v>59</v>
      </c>
      <c r="D44" s="724">
        <v>46057</v>
      </c>
      <c r="E44" s="723">
        <f ca="1">_xlfn.DAYS(TODAY(),D44)</f>
        <v>28</v>
      </c>
      <c r="F44" s="732">
        <v>184220</v>
      </c>
      <c r="G44" s="723" t="s">
        <v>502</v>
      </c>
      <c r="H44" s="723" t="s">
        <v>503</v>
      </c>
      <c r="I44" s="723" t="s">
        <v>911</v>
      </c>
      <c r="J44" s="732" t="s">
        <v>899</v>
      </c>
      <c r="K44" s="723" t="s">
        <v>903</v>
      </c>
      <c r="L44" s="723" t="s">
        <v>446</v>
      </c>
      <c r="M44" s="723" t="s">
        <v>883</v>
      </c>
      <c r="N44" s="798" t="s">
        <v>912</v>
      </c>
      <c r="O44" s="733">
        <v>4</v>
      </c>
      <c r="P44" s="733">
        <v>4</v>
      </c>
      <c r="Q44" s="734">
        <v>1</v>
      </c>
    </row>
    <row r="45" spans="1:17" s="684" customFormat="1" ht="79.5" customHeight="1">
      <c r="A45" s="722" t="s">
        <v>270</v>
      </c>
      <c r="B45" s="722" t="s">
        <v>913</v>
      </c>
      <c r="C45" s="723" t="s">
        <v>59</v>
      </c>
      <c r="D45" s="724">
        <v>46029</v>
      </c>
      <c r="E45" s="723">
        <f ca="1">_xlfn.DAYS(TODAY(),D45)</f>
        <v>56</v>
      </c>
      <c r="F45" s="732">
        <v>176834</v>
      </c>
      <c r="G45" s="723" t="s">
        <v>441</v>
      </c>
      <c r="H45" s="731" t="s">
        <v>490</v>
      </c>
      <c r="I45" s="723" t="s">
        <v>914</v>
      </c>
      <c r="J45" s="732" t="s">
        <v>899</v>
      </c>
      <c r="K45" s="723" t="s">
        <v>48</v>
      </c>
      <c r="L45" s="723" t="s">
        <v>446</v>
      </c>
      <c r="M45" s="723" t="s">
        <v>900</v>
      </c>
      <c r="N45" s="790" t="s">
        <v>915</v>
      </c>
      <c r="O45" s="733">
        <v>4</v>
      </c>
      <c r="P45" s="733">
        <v>4</v>
      </c>
      <c r="Q45" s="734">
        <v>2</v>
      </c>
    </row>
    <row r="46" spans="1:17" s="684" customFormat="1">
      <c r="A46" s="692"/>
      <c r="B46" s="692" t="s">
        <v>556</v>
      </c>
      <c r="C46" s="694" t="s">
        <v>66</v>
      </c>
      <c r="D46" s="699"/>
      <c r="E46" s="700"/>
      <c r="F46" s="700"/>
      <c r="G46" s="700"/>
      <c r="H46" s="701"/>
      <c r="I46" s="701"/>
      <c r="J46" s="701"/>
      <c r="K46" s="702"/>
      <c r="L46" s="702"/>
      <c r="M46" s="701"/>
      <c r="N46" s="710"/>
      <c r="O46" s="697"/>
      <c r="P46" s="697"/>
      <c r="Q46" s="698"/>
    </row>
    <row r="47" spans="1:17" s="684" customFormat="1" ht="67.5" customHeight="1">
      <c r="A47" s="722" t="s">
        <v>270</v>
      </c>
      <c r="B47" s="722" t="s">
        <v>916</v>
      </c>
      <c r="C47" s="723" t="s">
        <v>66</v>
      </c>
      <c r="D47" s="724">
        <v>46062</v>
      </c>
      <c r="E47" s="723">
        <f ca="1">_xlfn.DAYS(TODAY(),D47)</f>
        <v>23</v>
      </c>
      <c r="F47" s="732"/>
      <c r="G47" s="723" t="s">
        <v>521</v>
      </c>
      <c r="H47" s="731" t="s">
        <v>582</v>
      </c>
      <c r="I47" s="723" t="s">
        <v>917</v>
      </c>
      <c r="J47" s="732" t="s">
        <v>829</v>
      </c>
      <c r="K47" s="723" t="s">
        <v>613</v>
      </c>
      <c r="L47" s="723" t="s">
        <v>418</v>
      </c>
      <c r="M47" s="723" t="s">
        <v>783</v>
      </c>
      <c r="N47" s="790" t="s">
        <v>918</v>
      </c>
      <c r="O47" s="733">
        <v>1.75</v>
      </c>
      <c r="P47" s="733">
        <v>1.25</v>
      </c>
      <c r="Q47" s="734">
        <v>1</v>
      </c>
    </row>
    <row r="48" spans="1:17" s="684" customFormat="1" ht="23.25" customHeight="1">
      <c r="A48" s="692"/>
      <c r="B48" s="692" t="s">
        <v>556</v>
      </c>
      <c r="C48" s="694" t="s">
        <v>70</v>
      </c>
      <c r="D48" s="699"/>
      <c r="E48" s="700"/>
      <c r="F48" s="700"/>
      <c r="G48" s="700"/>
      <c r="H48" s="701"/>
      <c r="I48" s="701"/>
      <c r="J48" s="701"/>
      <c r="K48" s="702"/>
      <c r="L48" s="711"/>
      <c r="M48" s="701"/>
      <c r="N48" s="710"/>
      <c r="O48" s="697"/>
      <c r="P48" s="697"/>
      <c r="Q48" s="698"/>
    </row>
    <row r="49" spans="1:17" s="684" customFormat="1" ht="57.75" customHeight="1">
      <c r="A49" s="722" t="s">
        <v>270</v>
      </c>
      <c r="B49" s="722" t="s">
        <v>919</v>
      </c>
      <c r="C49" s="723" t="s">
        <v>70</v>
      </c>
      <c r="D49" s="724">
        <v>46037</v>
      </c>
      <c r="E49" s="723">
        <f ca="1">_xlfn.DAYS(TODAY(),D49)</f>
        <v>48</v>
      </c>
      <c r="F49" s="732">
        <v>184220</v>
      </c>
      <c r="G49" s="723" t="s">
        <v>502</v>
      </c>
      <c r="H49" s="723" t="s">
        <v>503</v>
      </c>
      <c r="I49" s="723" t="s">
        <v>597</v>
      </c>
      <c r="J49" s="732" t="s">
        <v>899</v>
      </c>
      <c r="K49" s="723" t="s">
        <v>903</v>
      </c>
      <c r="L49" s="723" t="s">
        <v>446</v>
      </c>
      <c r="M49" s="723" t="s">
        <v>883</v>
      </c>
      <c r="N49" s="788" t="s">
        <v>920</v>
      </c>
      <c r="O49" s="733">
        <v>6</v>
      </c>
      <c r="P49" s="733">
        <v>6</v>
      </c>
      <c r="Q49" s="734">
        <v>1</v>
      </c>
    </row>
    <row r="50" spans="1:17" s="684" customFormat="1" ht="57.75" customHeight="1">
      <c r="A50" s="722" t="s">
        <v>270</v>
      </c>
      <c r="B50" s="722" t="s">
        <v>921</v>
      </c>
      <c r="C50" s="723" t="s">
        <v>70</v>
      </c>
      <c r="D50" s="724">
        <v>46071</v>
      </c>
      <c r="E50" s="723">
        <f ca="1">_xlfn.DAYS(TODAY(),D50)</f>
        <v>14</v>
      </c>
      <c r="F50" s="732">
        <v>176834</v>
      </c>
      <c r="G50" s="723" t="s">
        <v>441</v>
      </c>
      <c r="H50" s="731" t="s">
        <v>490</v>
      </c>
      <c r="I50" s="723" t="s">
        <v>592</v>
      </c>
      <c r="J50" s="732" t="s">
        <v>899</v>
      </c>
      <c r="K50" s="723" t="s">
        <v>48</v>
      </c>
      <c r="L50" s="723" t="s">
        <v>446</v>
      </c>
      <c r="M50" s="723" t="s">
        <v>900</v>
      </c>
      <c r="N50" s="790" t="s">
        <v>922</v>
      </c>
      <c r="O50" s="733">
        <v>7</v>
      </c>
      <c r="P50" s="733">
        <v>7</v>
      </c>
      <c r="Q50" s="734">
        <v>1</v>
      </c>
    </row>
    <row r="51" spans="1:17" s="684" customFormat="1">
      <c r="A51" s="692"/>
      <c r="B51" s="692" t="s">
        <v>556</v>
      </c>
      <c r="C51" s="694" t="s">
        <v>76</v>
      </c>
      <c r="D51" s="699"/>
      <c r="E51" s="701"/>
      <c r="F51" s="701"/>
      <c r="G51" s="701"/>
      <c r="H51" s="701"/>
      <c r="I51" s="701"/>
      <c r="J51" s="701"/>
      <c r="K51" s="702"/>
      <c r="L51" s="702"/>
      <c r="M51" s="701"/>
      <c r="N51" s="710"/>
      <c r="O51" s="697"/>
      <c r="P51" s="697"/>
      <c r="Q51" s="698"/>
    </row>
    <row r="52" spans="1:17" s="684" customFormat="1" ht="69.75" customHeight="1">
      <c r="A52" s="722" t="s">
        <v>270</v>
      </c>
      <c r="B52" s="722" t="s">
        <v>777</v>
      </c>
      <c r="C52" s="723" t="s">
        <v>76</v>
      </c>
      <c r="D52" s="724">
        <v>46083</v>
      </c>
      <c r="E52" s="759">
        <f ca="1">_xlfn.DAYS(TODAY(),D52)</f>
        <v>2</v>
      </c>
      <c r="F52" s="723" t="s">
        <v>481</v>
      </c>
      <c r="G52" s="723" t="s">
        <v>521</v>
      </c>
      <c r="H52" s="731" t="s">
        <v>582</v>
      </c>
      <c r="I52" s="723" t="s">
        <v>923</v>
      </c>
      <c r="J52" s="723" t="s">
        <v>924</v>
      </c>
      <c r="K52" s="723" t="s">
        <v>613</v>
      </c>
      <c r="L52" s="723" t="s">
        <v>418</v>
      </c>
      <c r="M52" s="723" t="s">
        <v>925</v>
      </c>
      <c r="N52" s="789" t="s">
        <v>926</v>
      </c>
      <c r="O52" s="733">
        <v>1.5</v>
      </c>
      <c r="P52" s="733">
        <v>1.5</v>
      </c>
      <c r="Q52" s="761">
        <v>2</v>
      </c>
    </row>
    <row r="53" spans="1:17" s="684" customFormat="1" ht="69.75" customHeight="1">
      <c r="A53" s="712" t="s">
        <v>270</v>
      </c>
      <c r="B53" s="712" t="s">
        <v>927</v>
      </c>
      <c r="C53" s="723" t="s">
        <v>76</v>
      </c>
      <c r="D53" s="714">
        <v>46055</v>
      </c>
      <c r="E53" s="713">
        <f ca="1">_xlfn.DAYS(TODAY(),D53)</f>
        <v>30</v>
      </c>
      <c r="F53" s="713"/>
      <c r="G53" s="723" t="s">
        <v>521</v>
      </c>
      <c r="H53" s="717" t="s">
        <v>905</v>
      </c>
      <c r="I53" s="713" t="s">
        <v>626</v>
      </c>
      <c r="J53" s="715" t="s">
        <v>928</v>
      </c>
      <c r="K53" s="723" t="s">
        <v>613</v>
      </c>
      <c r="L53" s="713" t="s">
        <v>446</v>
      </c>
      <c r="M53" s="723" t="s">
        <v>925</v>
      </c>
      <c r="N53" s="789" t="s">
        <v>929</v>
      </c>
      <c r="O53" s="678">
        <v>8</v>
      </c>
      <c r="P53" s="678">
        <v>7</v>
      </c>
      <c r="Q53" s="679">
        <v>2</v>
      </c>
    </row>
    <row r="54" spans="1:17" s="684" customFormat="1">
      <c r="A54" s="692"/>
      <c r="B54" s="692" t="s">
        <v>556</v>
      </c>
      <c r="C54" s="694" t="s">
        <v>80</v>
      </c>
      <c r="D54" s="699"/>
      <c r="E54" s="700"/>
      <c r="F54" s="700"/>
      <c r="G54" s="700"/>
      <c r="H54" s="701"/>
      <c r="I54" s="701"/>
      <c r="J54" s="701"/>
      <c r="K54" s="702"/>
      <c r="L54" s="702"/>
      <c r="M54" s="701"/>
      <c r="N54" s="710"/>
      <c r="O54" s="697"/>
      <c r="P54" s="697"/>
      <c r="Q54" s="698"/>
    </row>
    <row r="55" spans="1:17" s="684" customFormat="1">
      <c r="A55" s="692"/>
      <c r="B55" s="692" t="s">
        <v>632</v>
      </c>
      <c r="C55" s="694" t="s">
        <v>87</v>
      </c>
      <c r="D55" s="699"/>
      <c r="E55" s="700"/>
      <c r="F55" s="700"/>
      <c r="G55" s="700"/>
      <c r="H55" s="701"/>
      <c r="I55" s="701"/>
      <c r="J55" s="701"/>
      <c r="K55" s="702"/>
      <c r="L55" s="711"/>
      <c r="M55" s="701"/>
      <c r="N55" s="710"/>
      <c r="O55" s="697"/>
      <c r="P55" s="697"/>
      <c r="Q55" s="698"/>
    </row>
    <row r="56" spans="1:17" s="684" customFormat="1" ht="60" customHeight="1">
      <c r="A56" s="712" t="s">
        <v>270</v>
      </c>
      <c r="B56" s="722" t="s">
        <v>930</v>
      </c>
      <c r="C56" s="713" t="s">
        <v>87</v>
      </c>
      <c r="D56" s="724">
        <v>46057</v>
      </c>
      <c r="E56" s="732">
        <f ca="1">_xlfn.DAYS(TODAY(),D56)</f>
        <v>28</v>
      </c>
      <c r="F56" s="723">
        <v>178677</v>
      </c>
      <c r="G56" s="713" t="s">
        <v>441</v>
      </c>
      <c r="H56" s="723" t="s">
        <v>490</v>
      </c>
      <c r="I56" s="723" t="s">
        <v>634</v>
      </c>
      <c r="J56" s="723" t="s">
        <v>511</v>
      </c>
      <c r="K56" s="723" t="s">
        <v>85</v>
      </c>
      <c r="L56" s="713" t="s">
        <v>330</v>
      </c>
      <c r="M56" s="723" t="s">
        <v>931</v>
      </c>
      <c r="N56" s="792" t="s">
        <v>932</v>
      </c>
      <c r="O56" s="733">
        <v>6</v>
      </c>
      <c r="P56" s="756">
        <v>6</v>
      </c>
      <c r="Q56" s="734">
        <v>1</v>
      </c>
    </row>
    <row r="57" spans="1:17" s="684" customFormat="1">
      <c r="A57" s="692"/>
      <c r="B57" s="692" t="s">
        <v>632</v>
      </c>
      <c r="C57" s="694" t="s">
        <v>93</v>
      </c>
      <c r="D57" s="699"/>
      <c r="E57" s="700"/>
      <c r="F57" s="700"/>
      <c r="G57" s="700"/>
      <c r="H57" s="701"/>
      <c r="I57" s="701"/>
      <c r="J57" s="701"/>
      <c r="K57" s="702"/>
      <c r="L57" s="711"/>
      <c r="M57" s="701"/>
      <c r="N57" s="710"/>
      <c r="O57" s="697"/>
      <c r="P57" s="697"/>
      <c r="Q57" s="698"/>
    </row>
    <row r="58" spans="1:17" s="684" customFormat="1" ht="108">
      <c r="A58" s="712" t="s">
        <v>270</v>
      </c>
      <c r="B58" s="712" t="s">
        <v>933</v>
      </c>
      <c r="C58" s="713" t="s">
        <v>93</v>
      </c>
      <c r="D58" s="714">
        <v>45691</v>
      </c>
      <c r="E58" s="803">
        <f ca="1">_xlfn.DAYS(TODAY(),D58)</f>
        <v>394</v>
      </c>
      <c r="F58" s="713" t="s">
        <v>934</v>
      </c>
      <c r="G58" s="713" t="s">
        <v>502</v>
      </c>
      <c r="H58" s="713" t="s">
        <v>503</v>
      </c>
      <c r="I58" s="713" t="s">
        <v>645</v>
      </c>
      <c r="J58" s="713" t="s">
        <v>935</v>
      </c>
      <c r="K58" s="713" t="s">
        <v>91</v>
      </c>
      <c r="L58" s="713" t="s">
        <v>330</v>
      </c>
      <c r="M58" s="713" t="s">
        <v>647</v>
      </c>
      <c r="N58" s="784" t="s">
        <v>936</v>
      </c>
      <c r="O58" s="678">
        <v>4</v>
      </c>
      <c r="P58" s="682">
        <v>2</v>
      </c>
      <c r="Q58" s="676">
        <v>2</v>
      </c>
    </row>
    <row r="59" spans="1:17" s="684" customFormat="1">
      <c r="A59" s="692"/>
      <c r="B59" s="692" t="s">
        <v>632</v>
      </c>
      <c r="C59" s="694" t="s">
        <v>97</v>
      </c>
      <c r="D59" s="699"/>
      <c r="E59" s="699"/>
      <c r="F59" s="699"/>
      <c r="G59" s="699"/>
      <c r="H59" s="701"/>
      <c r="I59" s="701"/>
      <c r="J59" s="701"/>
      <c r="K59" s="702"/>
      <c r="L59" s="701"/>
      <c r="M59" s="701"/>
      <c r="N59" s="710"/>
      <c r="O59" s="697"/>
      <c r="P59" s="697"/>
      <c r="Q59" s="698"/>
    </row>
    <row r="60" spans="1:17" s="684" customFormat="1" ht="36">
      <c r="A60" s="712" t="s">
        <v>270</v>
      </c>
      <c r="B60" s="722" t="s">
        <v>937</v>
      </c>
      <c r="C60" s="713" t="s">
        <v>97</v>
      </c>
      <c r="D60" s="724">
        <v>46055</v>
      </c>
      <c r="E60" s="732">
        <f ca="1">_xlfn.DAYS(TODAY(),D60)</f>
        <v>30</v>
      </c>
      <c r="F60" s="723">
        <v>178677</v>
      </c>
      <c r="G60" s="713" t="s">
        <v>441</v>
      </c>
      <c r="H60" s="723" t="s">
        <v>490</v>
      </c>
      <c r="I60" s="723" t="s">
        <v>657</v>
      </c>
      <c r="J60" s="723" t="s">
        <v>511</v>
      </c>
      <c r="K60" s="723" t="s">
        <v>85</v>
      </c>
      <c r="L60" s="713" t="s">
        <v>330</v>
      </c>
      <c r="M60" s="723" t="s">
        <v>931</v>
      </c>
      <c r="N60" s="785" t="s">
        <v>938</v>
      </c>
      <c r="O60" s="733">
        <v>7</v>
      </c>
      <c r="P60" s="756">
        <v>8</v>
      </c>
      <c r="Q60" s="734">
        <v>1</v>
      </c>
    </row>
    <row r="61" spans="1:17" s="684" customFormat="1" ht="55.5" customHeight="1">
      <c r="A61" s="712" t="s">
        <v>270</v>
      </c>
      <c r="B61" s="712" t="s">
        <v>939</v>
      </c>
      <c r="C61" s="713" t="s">
        <v>97</v>
      </c>
      <c r="D61" s="714">
        <v>46055</v>
      </c>
      <c r="E61" s="713">
        <f ca="1">_xlfn.DAYS(TODAY(),D61)</f>
        <v>30</v>
      </c>
      <c r="F61" s="713" t="s">
        <v>934</v>
      </c>
      <c r="G61" s="713" t="s">
        <v>502</v>
      </c>
      <c r="H61" s="713" t="s">
        <v>503</v>
      </c>
      <c r="I61" s="801" t="s">
        <v>940</v>
      </c>
      <c r="J61" s="713" t="s">
        <v>899</v>
      </c>
      <c r="K61" s="713" t="s">
        <v>91</v>
      </c>
      <c r="L61" s="713" t="s">
        <v>330</v>
      </c>
      <c r="M61" s="713" t="s">
        <v>647</v>
      </c>
      <c r="N61" s="796" t="s">
        <v>941</v>
      </c>
      <c r="O61" s="678">
        <v>7.5</v>
      </c>
      <c r="P61" s="682">
        <v>7.25</v>
      </c>
      <c r="Q61" s="676">
        <v>1</v>
      </c>
    </row>
    <row r="62" spans="1:17" s="684" customFormat="1" ht="90">
      <c r="A62" s="712" t="s">
        <v>269</v>
      </c>
      <c r="B62" s="712" t="s">
        <v>777</v>
      </c>
      <c r="C62" s="713" t="s">
        <v>97</v>
      </c>
      <c r="D62" s="714">
        <v>46065</v>
      </c>
      <c r="E62" s="713">
        <f t="shared" ref="E62" ca="1" si="8">_xlfn.DAYS(TODAY(),D62)</f>
        <v>20</v>
      </c>
      <c r="F62" s="713" t="s">
        <v>481</v>
      </c>
      <c r="G62" s="713" t="s">
        <v>521</v>
      </c>
      <c r="H62" s="717" t="s">
        <v>905</v>
      </c>
      <c r="I62" s="713" t="s">
        <v>661</v>
      </c>
      <c r="J62" s="723" t="s">
        <v>942</v>
      </c>
      <c r="K62" s="713" t="s">
        <v>613</v>
      </c>
      <c r="L62" s="713" t="s">
        <v>749</v>
      </c>
      <c r="M62" s="713" t="s">
        <v>943</v>
      </c>
      <c r="N62" s="790" t="s">
        <v>944</v>
      </c>
      <c r="O62" s="678">
        <v>10</v>
      </c>
      <c r="P62" s="678">
        <v>9</v>
      </c>
      <c r="Q62" s="679">
        <v>2</v>
      </c>
    </row>
    <row r="63" spans="1:17" s="684" customFormat="1" ht="21" customHeight="1">
      <c r="A63" s="692"/>
      <c r="B63" s="692" t="s">
        <v>632</v>
      </c>
      <c r="C63" s="694" t="s">
        <v>102</v>
      </c>
      <c r="D63" s="699"/>
      <c r="E63" s="700"/>
      <c r="F63" s="700"/>
      <c r="G63" s="700"/>
      <c r="H63" s="701"/>
      <c r="I63" s="701"/>
      <c r="J63" s="701"/>
      <c r="K63" s="702"/>
      <c r="L63" s="711"/>
      <c r="M63" s="701"/>
      <c r="N63" s="710"/>
      <c r="O63" s="697"/>
      <c r="P63" s="697"/>
      <c r="Q63" s="698"/>
    </row>
    <row r="64" spans="1:17" s="684" customFormat="1" ht="91.5" customHeight="1">
      <c r="A64" s="722" t="s">
        <v>270</v>
      </c>
      <c r="B64" s="722" t="s">
        <v>945</v>
      </c>
      <c r="C64" s="723" t="s">
        <v>102</v>
      </c>
      <c r="D64" s="724">
        <v>46084</v>
      </c>
      <c r="E64" s="759">
        <f ca="1">_xlfn.DAYS(TODAY(),D64)</f>
        <v>1</v>
      </c>
      <c r="F64" s="723" t="s">
        <v>481</v>
      </c>
      <c r="G64" s="723" t="s">
        <v>521</v>
      </c>
      <c r="H64" s="731" t="s">
        <v>905</v>
      </c>
      <c r="I64" s="723" t="s">
        <v>946</v>
      </c>
      <c r="J64" s="723" t="s">
        <v>942</v>
      </c>
      <c r="K64" s="723" t="s">
        <v>613</v>
      </c>
      <c r="L64" s="723" t="s">
        <v>749</v>
      </c>
      <c r="M64" s="723" t="s">
        <v>925</v>
      </c>
      <c r="N64" s="789" t="s">
        <v>947</v>
      </c>
      <c r="O64" s="733">
        <v>4</v>
      </c>
      <c r="P64" s="733">
        <v>3</v>
      </c>
      <c r="Q64" s="761">
        <v>1</v>
      </c>
    </row>
    <row r="65" spans="1:102" s="684" customFormat="1">
      <c r="A65" s="692"/>
      <c r="B65" s="692" t="s">
        <v>632</v>
      </c>
      <c r="C65" s="694" t="s">
        <v>106</v>
      </c>
      <c r="D65" s="699"/>
      <c r="E65" s="700"/>
      <c r="F65" s="700"/>
      <c r="G65" s="700"/>
      <c r="H65" s="701"/>
      <c r="I65" s="701"/>
      <c r="J65" s="701"/>
      <c r="K65" s="702"/>
      <c r="L65" s="702"/>
      <c r="M65" s="701"/>
      <c r="N65" s="710"/>
      <c r="O65" s="697"/>
      <c r="P65" s="697"/>
      <c r="Q65" s="698"/>
    </row>
    <row r="66" spans="1:102" s="684" customFormat="1" ht="49.5" customHeight="1">
      <c r="A66" s="712" t="s">
        <v>270</v>
      </c>
      <c r="B66" s="712" t="s">
        <v>948</v>
      </c>
      <c r="C66" s="713" t="s">
        <v>106</v>
      </c>
      <c r="D66" s="714">
        <v>46069</v>
      </c>
      <c r="E66" s="713">
        <f ca="1">_xlfn.DAYS(TODAY(),D66)</f>
        <v>16</v>
      </c>
      <c r="F66" s="713" t="s">
        <v>934</v>
      </c>
      <c r="G66" s="713" t="s">
        <v>502</v>
      </c>
      <c r="H66" s="713" t="s">
        <v>503</v>
      </c>
      <c r="I66" s="801" t="s">
        <v>671</v>
      </c>
      <c r="J66" s="713" t="s">
        <v>899</v>
      </c>
      <c r="K66" s="713" t="s">
        <v>91</v>
      </c>
      <c r="L66" s="713" t="s">
        <v>330</v>
      </c>
      <c r="M66" s="713" t="s">
        <v>647</v>
      </c>
      <c r="N66" s="796" t="s">
        <v>406</v>
      </c>
      <c r="O66" s="678">
        <v>4</v>
      </c>
      <c r="P66" s="682">
        <v>4</v>
      </c>
      <c r="Q66" s="676">
        <v>1</v>
      </c>
    </row>
    <row r="67" spans="1:102" s="684" customFormat="1" ht="72">
      <c r="A67" s="722" t="s">
        <v>270</v>
      </c>
      <c r="B67" s="722" t="s">
        <v>949</v>
      </c>
      <c r="C67" s="723" t="s">
        <v>106</v>
      </c>
      <c r="D67" s="724">
        <v>46050</v>
      </c>
      <c r="E67" s="759">
        <f ca="1">_xlfn.DAYS(TODAY(),D67)</f>
        <v>35</v>
      </c>
      <c r="F67" s="723" t="s">
        <v>481</v>
      </c>
      <c r="G67" s="723" t="s">
        <v>521</v>
      </c>
      <c r="H67" s="731" t="s">
        <v>905</v>
      </c>
      <c r="I67" s="723" t="s">
        <v>675</v>
      </c>
      <c r="J67" s="723" t="s">
        <v>942</v>
      </c>
      <c r="K67" s="723" t="s">
        <v>613</v>
      </c>
      <c r="L67" s="723" t="s">
        <v>446</v>
      </c>
      <c r="M67" s="723" t="s">
        <v>925</v>
      </c>
      <c r="N67" s="789" t="s">
        <v>950</v>
      </c>
      <c r="O67" s="733">
        <v>4</v>
      </c>
      <c r="P67" s="733">
        <v>4</v>
      </c>
      <c r="Q67" s="761">
        <v>2</v>
      </c>
    </row>
    <row r="68" spans="1:102" s="684" customFormat="1" ht="66" customHeight="1">
      <c r="A68" s="722" t="s">
        <v>270</v>
      </c>
      <c r="B68" s="722" t="s">
        <v>777</v>
      </c>
      <c r="C68" s="723" t="s">
        <v>106</v>
      </c>
      <c r="D68" s="724">
        <v>46055</v>
      </c>
      <c r="E68" s="759">
        <f ca="1">_xlfn.DAYS(TODAY(),D68)</f>
        <v>30</v>
      </c>
      <c r="F68" s="723"/>
      <c r="G68" s="723" t="s">
        <v>521</v>
      </c>
      <c r="H68" s="731" t="s">
        <v>905</v>
      </c>
      <c r="I68" s="723" t="s">
        <v>951</v>
      </c>
      <c r="J68" s="723" t="s">
        <v>829</v>
      </c>
      <c r="K68" s="723" t="s">
        <v>613</v>
      </c>
      <c r="L68" s="723" t="s">
        <v>418</v>
      </c>
      <c r="M68" s="723" t="s">
        <v>925</v>
      </c>
      <c r="N68" s="789" t="s">
        <v>952</v>
      </c>
      <c r="O68" s="733">
        <v>2</v>
      </c>
      <c r="P68" s="733">
        <v>2</v>
      </c>
      <c r="Q68" s="761">
        <v>3</v>
      </c>
    </row>
    <row r="69" spans="1:102" s="684" customFormat="1">
      <c r="A69" s="692"/>
      <c r="B69" s="692" t="s">
        <v>632</v>
      </c>
      <c r="C69" s="694" t="s">
        <v>110</v>
      </c>
      <c r="D69" s="699"/>
      <c r="E69" s="700"/>
      <c r="F69" s="700"/>
      <c r="G69" s="700"/>
      <c r="H69" s="701"/>
      <c r="I69" s="701"/>
      <c r="J69" s="701"/>
      <c r="K69" s="702"/>
      <c r="L69" s="702"/>
      <c r="M69" s="701"/>
      <c r="N69" s="710"/>
      <c r="O69" s="697"/>
      <c r="P69" s="697"/>
      <c r="Q69" s="698"/>
    </row>
    <row r="70" spans="1:102" s="684" customFormat="1" ht="49.5" customHeight="1">
      <c r="A70" s="712" t="s">
        <v>270</v>
      </c>
      <c r="B70" s="712" t="s">
        <v>953</v>
      </c>
      <c r="C70" s="713" t="s">
        <v>110</v>
      </c>
      <c r="D70" s="714">
        <v>46072</v>
      </c>
      <c r="E70" s="713">
        <f ca="1">_xlfn.DAYS(TODAY(),D70)</f>
        <v>13</v>
      </c>
      <c r="F70" s="713" t="s">
        <v>934</v>
      </c>
      <c r="G70" s="713" t="s">
        <v>502</v>
      </c>
      <c r="H70" s="713" t="s">
        <v>503</v>
      </c>
      <c r="I70" s="801" t="s">
        <v>954</v>
      </c>
      <c r="J70" s="713" t="s">
        <v>899</v>
      </c>
      <c r="K70" s="713" t="s">
        <v>91</v>
      </c>
      <c r="L70" s="713" t="s">
        <v>330</v>
      </c>
      <c r="M70" s="713" t="s">
        <v>647</v>
      </c>
      <c r="N70" s="796" t="s">
        <v>406</v>
      </c>
      <c r="O70" s="678">
        <v>6</v>
      </c>
      <c r="P70" s="682">
        <v>6</v>
      </c>
      <c r="Q70" s="676">
        <v>1</v>
      </c>
    </row>
    <row r="71" spans="1:102" s="684" customFormat="1" ht="54">
      <c r="A71" s="712" t="s">
        <v>270</v>
      </c>
      <c r="B71" s="722" t="s">
        <v>955</v>
      </c>
      <c r="C71" s="713" t="s">
        <v>110</v>
      </c>
      <c r="D71" s="724">
        <v>46055</v>
      </c>
      <c r="E71" s="732">
        <f ca="1">_xlfn.DAYS(TODAY(),D71)</f>
        <v>30</v>
      </c>
      <c r="F71" s="723">
        <v>178677</v>
      </c>
      <c r="G71" s="713" t="s">
        <v>441</v>
      </c>
      <c r="H71" s="723" t="s">
        <v>490</v>
      </c>
      <c r="I71" s="723" t="s">
        <v>681</v>
      </c>
      <c r="J71" s="723" t="s">
        <v>511</v>
      </c>
      <c r="K71" s="723" t="s">
        <v>85</v>
      </c>
      <c r="L71" s="713" t="s">
        <v>330</v>
      </c>
      <c r="M71" s="723" t="s">
        <v>621</v>
      </c>
      <c r="N71" s="802" t="s">
        <v>956</v>
      </c>
      <c r="O71" s="733">
        <v>4</v>
      </c>
      <c r="P71" s="756">
        <v>5</v>
      </c>
      <c r="Q71" s="734">
        <v>1</v>
      </c>
    </row>
    <row r="72" spans="1:102" s="684" customFormat="1">
      <c r="A72" s="692"/>
      <c r="B72" s="692" t="s">
        <v>692</v>
      </c>
      <c r="C72" s="694" t="s">
        <v>117</v>
      </c>
      <c r="D72" s="699"/>
      <c r="E72" s="699"/>
      <c r="F72" s="699"/>
      <c r="G72" s="699"/>
      <c r="H72" s="699"/>
      <c r="I72" s="699"/>
      <c r="J72" s="699"/>
      <c r="K72" s="699"/>
      <c r="L72" s="699"/>
      <c r="M72" s="699"/>
      <c r="N72" s="699"/>
      <c r="O72" s="697"/>
      <c r="P72" s="697"/>
      <c r="Q72" s="698"/>
    </row>
    <row r="73" spans="1:102" s="684" customFormat="1" ht="50.25" customHeight="1">
      <c r="A73" s="712" t="s">
        <v>270</v>
      </c>
      <c r="B73" s="712"/>
      <c r="C73" s="713" t="s">
        <v>117</v>
      </c>
      <c r="D73" s="714">
        <v>46059</v>
      </c>
      <c r="E73" s="732">
        <f ca="1">_xlfn.DAYS(TODAY(),D73)</f>
        <v>26</v>
      </c>
      <c r="F73" s="713"/>
      <c r="G73" s="713" t="s">
        <v>441</v>
      </c>
      <c r="H73" s="717" t="s">
        <v>490</v>
      </c>
      <c r="I73" s="713" t="s">
        <v>695</v>
      </c>
      <c r="J73" s="715" t="s">
        <v>899</v>
      </c>
      <c r="K73" s="713" t="s">
        <v>134</v>
      </c>
      <c r="L73" s="713" t="s">
        <v>295</v>
      </c>
      <c r="M73" s="713" t="s">
        <v>340</v>
      </c>
      <c r="N73" s="789" t="s">
        <v>957</v>
      </c>
      <c r="O73" s="682">
        <v>16</v>
      </c>
      <c r="P73" s="682">
        <v>16</v>
      </c>
      <c r="Q73" s="676">
        <v>1</v>
      </c>
    </row>
    <row r="74" spans="1:102" s="684" customFormat="1" ht="50.25" customHeight="1">
      <c r="A74" s="712" t="s">
        <v>360</v>
      </c>
      <c r="B74" s="712"/>
      <c r="C74" s="713" t="s">
        <v>117</v>
      </c>
      <c r="D74" s="714">
        <v>46059</v>
      </c>
      <c r="E74" s="732">
        <f ca="1">_xlfn.DAYS(TODAY(),D74)</f>
        <v>26</v>
      </c>
      <c r="F74" s="713"/>
      <c r="G74" s="713" t="s">
        <v>451</v>
      </c>
      <c r="H74" s="717" t="s">
        <v>490</v>
      </c>
      <c r="I74" s="713" t="s">
        <v>958</v>
      </c>
      <c r="J74" s="715" t="s">
        <v>899</v>
      </c>
      <c r="K74" s="713" t="s">
        <v>124</v>
      </c>
      <c r="L74" s="713" t="s">
        <v>330</v>
      </c>
      <c r="M74" s="713" t="s">
        <v>959</v>
      </c>
      <c r="N74" s="789" t="s">
        <v>888</v>
      </c>
      <c r="O74" s="682">
        <v>14</v>
      </c>
      <c r="P74" s="682">
        <v>11</v>
      </c>
      <c r="Q74" s="676">
        <v>3</v>
      </c>
    </row>
    <row r="75" spans="1:102" s="684" customFormat="1" ht="113.25" customHeight="1">
      <c r="A75" s="712" t="s">
        <v>270</v>
      </c>
      <c r="B75" s="722" t="s">
        <v>777</v>
      </c>
      <c r="C75" s="713" t="s">
        <v>117</v>
      </c>
      <c r="D75" s="724">
        <v>46063</v>
      </c>
      <c r="E75" s="732">
        <f ca="1">_xlfn.DAYS(TODAY(),D75)</f>
        <v>22</v>
      </c>
      <c r="F75" s="723">
        <v>178677</v>
      </c>
      <c r="G75" s="713" t="s">
        <v>521</v>
      </c>
      <c r="H75" s="723" t="s">
        <v>905</v>
      </c>
      <c r="I75" s="723" t="s">
        <v>960</v>
      </c>
      <c r="J75" s="723" t="s">
        <v>961</v>
      </c>
      <c r="K75" s="723" t="s">
        <v>14</v>
      </c>
      <c r="L75" s="713" t="s">
        <v>749</v>
      </c>
      <c r="M75" s="723" t="s">
        <v>962</v>
      </c>
      <c r="N75" s="797" t="s">
        <v>963</v>
      </c>
      <c r="O75" s="733">
        <v>18</v>
      </c>
      <c r="P75" s="756">
        <v>15</v>
      </c>
      <c r="Q75" s="734">
        <v>2</v>
      </c>
    </row>
    <row r="76" spans="1:102" s="684" customFormat="1" ht="99.75" customHeight="1">
      <c r="A76" s="712" t="s">
        <v>270</v>
      </c>
      <c r="B76" s="722" t="s">
        <v>964</v>
      </c>
      <c r="C76" s="713" t="s">
        <v>117</v>
      </c>
      <c r="D76" s="724">
        <v>46076</v>
      </c>
      <c r="E76" s="732">
        <f ca="1">_xlfn.DAYS(TODAY(),D76)</f>
        <v>9</v>
      </c>
      <c r="F76" s="723">
        <v>178677</v>
      </c>
      <c r="G76" s="713" t="s">
        <v>521</v>
      </c>
      <c r="H76" s="723" t="s">
        <v>905</v>
      </c>
      <c r="I76" s="723" t="s">
        <v>965</v>
      </c>
      <c r="J76" s="723" t="s">
        <v>966</v>
      </c>
      <c r="K76" s="723" t="s">
        <v>14</v>
      </c>
      <c r="L76" s="713" t="s">
        <v>749</v>
      </c>
      <c r="M76" s="723" t="s">
        <v>962</v>
      </c>
      <c r="N76" s="797" t="s">
        <v>967</v>
      </c>
      <c r="O76" s="733">
        <v>3.5</v>
      </c>
      <c r="P76" s="756">
        <v>3</v>
      </c>
      <c r="Q76" s="734">
        <v>1</v>
      </c>
    </row>
    <row r="77" spans="1:102" s="684" customFormat="1" ht="64.150000000000006" customHeight="1">
      <c r="A77" s="692"/>
      <c r="B77" s="692" t="s">
        <v>692</v>
      </c>
      <c r="C77" s="694" t="s">
        <v>128</v>
      </c>
      <c r="D77" s="699"/>
      <c r="E77" s="700"/>
      <c r="F77" s="700"/>
      <c r="G77" s="700"/>
      <c r="H77" s="701"/>
      <c r="I77" s="701"/>
      <c r="J77" s="701"/>
      <c r="K77" s="701" t="s">
        <v>704</v>
      </c>
      <c r="L77" s="711"/>
      <c r="M77" s="701"/>
      <c r="N77" s="710"/>
      <c r="O77" s="697"/>
      <c r="P77" s="697"/>
      <c r="Q77" s="698"/>
      <c r="R77" s="736"/>
      <c r="S77" s="736"/>
      <c r="T77" s="736"/>
      <c r="U77" s="736"/>
      <c r="V77" s="736"/>
      <c r="W77" s="736"/>
      <c r="X77" s="736"/>
      <c r="Y77" s="736"/>
      <c r="Z77" s="736"/>
      <c r="AA77" s="736"/>
      <c r="AB77" s="736"/>
      <c r="AC77" s="736"/>
      <c r="AD77" s="736"/>
      <c r="AE77" s="736"/>
      <c r="AF77" s="736"/>
      <c r="AG77" s="736"/>
      <c r="AH77" s="736"/>
      <c r="AI77" s="736"/>
      <c r="AJ77" s="736"/>
      <c r="AK77" s="736"/>
      <c r="AL77" s="736"/>
      <c r="AM77" s="736"/>
      <c r="AN77" s="736"/>
      <c r="AO77" s="736"/>
      <c r="AP77" s="736"/>
      <c r="AQ77" s="736"/>
      <c r="AR77" s="736"/>
      <c r="AS77" s="736"/>
      <c r="AT77" s="736"/>
      <c r="AU77" s="736"/>
      <c r="AV77" s="736"/>
      <c r="AW77" s="736"/>
      <c r="AX77" s="736"/>
      <c r="AY77" s="736"/>
      <c r="AZ77" s="736"/>
      <c r="BA77" s="736"/>
      <c r="BB77" s="736"/>
      <c r="BC77" s="736"/>
      <c r="BD77" s="736"/>
      <c r="BE77" s="736"/>
      <c r="BF77" s="736"/>
      <c r="BG77" s="736"/>
      <c r="BH77" s="736"/>
      <c r="BI77" s="736"/>
      <c r="BJ77" s="736"/>
      <c r="BK77" s="736"/>
      <c r="BL77" s="736"/>
      <c r="BM77" s="736"/>
      <c r="BN77" s="736"/>
      <c r="BO77" s="736"/>
      <c r="BP77" s="736"/>
      <c r="BQ77" s="736"/>
      <c r="BR77" s="736"/>
      <c r="BS77" s="736"/>
      <c r="BT77" s="736"/>
      <c r="BU77" s="736"/>
      <c r="BV77" s="736"/>
      <c r="BW77" s="736"/>
      <c r="BX77" s="736"/>
      <c r="BY77" s="736"/>
      <c r="BZ77" s="736"/>
      <c r="CA77" s="736"/>
      <c r="CB77" s="736"/>
      <c r="CC77" s="736"/>
      <c r="CD77" s="736"/>
      <c r="CE77" s="736"/>
      <c r="CF77" s="736"/>
      <c r="CG77" s="736"/>
      <c r="CH77" s="736"/>
      <c r="CI77" s="736"/>
      <c r="CJ77" s="736"/>
      <c r="CK77" s="736"/>
      <c r="CL77" s="736"/>
      <c r="CM77" s="736"/>
      <c r="CN77" s="736"/>
      <c r="CO77" s="736"/>
      <c r="CP77" s="736"/>
      <c r="CQ77" s="736"/>
      <c r="CR77" s="736"/>
      <c r="CS77" s="736"/>
      <c r="CT77" s="736"/>
      <c r="CU77" s="736"/>
      <c r="CV77" s="736"/>
      <c r="CW77" s="736"/>
      <c r="CX77" s="736"/>
    </row>
    <row r="78" spans="1:102" s="684" customFormat="1" ht="40.5" customHeight="1">
      <c r="A78" s="712" t="s">
        <v>270</v>
      </c>
      <c r="B78" s="712" t="s">
        <v>968</v>
      </c>
      <c r="C78" s="713" t="s">
        <v>128</v>
      </c>
      <c r="D78" s="714">
        <v>46052</v>
      </c>
      <c r="E78" s="732">
        <f ca="1">_xlfn.DAYS(TODAY(),D78)</f>
        <v>33</v>
      </c>
      <c r="F78" s="713"/>
      <c r="G78" s="713" t="s">
        <v>441</v>
      </c>
      <c r="H78" s="717" t="s">
        <v>490</v>
      </c>
      <c r="I78" s="713" t="s">
        <v>969</v>
      </c>
      <c r="J78" s="715" t="s">
        <v>899</v>
      </c>
      <c r="K78" s="713" t="s">
        <v>134</v>
      </c>
      <c r="L78" s="713" t="s">
        <v>295</v>
      </c>
      <c r="M78" s="713" t="s">
        <v>970</v>
      </c>
      <c r="N78" s="789" t="s">
        <v>971</v>
      </c>
      <c r="O78" s="682">
        <v>4</v>
      </c>
      <c r="P78" s="682">
        <v>4</v>
      </c>
      <c r="Q78" s="676">
        <v>1</v>
      </c>
    </row>
    <row r="79" spans="1:102" s="736" customFormat="1" ht="49.5" customHeight="1">
      <c r="A79" s="712" t="s">
        <v>270</v>
      </c>
      <c r="B79" s="722" t="s">
        <v>777</v>
      </c>
      <c r="C79" s="713" t="s">
        <v>128</v>
      </c>
      <c r="D79" s="724">
        <v>46070</v>
      </c>
      <c r="E79" s="732">
        <f ca="1">_xlfn.DAYS(TODAY(),D79)</f>
        <v>15</v>
      </c>
      <c r="F79" s="723">
        <v>178677</v>
      </c>
      <c r="G79" s="713" t="s">
        <v>521</v>
      </c>
      <c r="H79" s="723" t="s">
        <v>905</v>
      </c>
      <c r="I79" s="723" t="s">
        <v>972</v>
      </c>
      <c r="J79" s="723" t="s">
        <v>966</v>
      </c>
      <c r="K79" s="723" t="s">
        <v>14</v>
      </c>
      <c r="L79" s="713" t="s">
        <v>749</v>
      </c>
      <c r="M79" s="723" t="s">
        <v>962</v>
      </c>
      <c r="N79" s="792" t="s">
        <v>973</v>
      </c>
      <c r="O79" s="733">
        <v>1.5</v>
      </c>
      <c r="P79" s="756">
        <v>1.1499999999999999</v>
      </c>
      <c r="Q79" s="734">
        <v>1</v>
      </c>
    </row>
    <row r="80" spans="1:102" s="736" customFormat="1" ht="57.75" customHeight="1">
      <c r="A80" s="692"/>
      <c r="B80" s="692" t="s">
        <v>692</v>
      </c>
      <c r="C80" s="694" t="s">
        <v>133</v>
      </c>
      <c r="D80" s="699"/>
      <c r="E80" s="700"/>
      <c r="F80" s="700"/>
      <c r="G80" s="700"/>
      <c r="H80" s="701"/>
      <c r="I80" s="701"/>
      <c r="J80" s="701"/>
      <c r="K80" s="702"/>
      <c r="L80" s="702"/>
      <c r="M80" s="701"/>
      <c r="N80" s="710"/>
      <c r="O80" s="697"/>
      <c r="P80" s="697"/>
      <c r="Q80" s="698"/>
    </row>
    <row r="81" spans="1:102" s="736" customFormat="1" ht="36">
      <c r="A81" s="712" t="s">
        <v>270</v>
      </c>
      <c r="B81" s="712" t="s">
        <v>974</v>
      </c>
      <c r="C81" s="723" t="s">
        <v>133</v>
      </c>
      <c r="D81" s="714">
        <v>46078</v>
      </c>
      <c r="E81" s="723">
        <f ca="1">_xlfn.DAYS(TODAY(),D81)</f>
        <v>7</v>
      </c>
      <c r="F81" s="723" t="s">
        <v>481</v>
      </c>
      <c r="G81" s="713" t="s">
        <v>521</v>
      </c>
      <c r="H81" s="723" t="s">
        <v>582</v>
      </c>
      <c r="I81" s="723" t="s">
        <v>975</v>
      </c>
      <c r="J81" s="732" t="s">
        <v>651</v>
      </c>
      <c r="K81" s="723" t="s">
        <v>14</v>
      </c>
      <c r="L81" s="713" t="s">
        <v>418</v>
      </c>
      <c r="M81" s="754" t="s">
        <v>976</v>
      </c>
      <c r="N81" s="791" t="s">
        <v>977</v>
      </c>
      <c r="O81" s="678">
        <v>1.25</v>
      </c>
      <c r="P81" s="678">
        <v>1.25</v>
      </c>
      <c r="Q81" s="676">
        <v>2</v>
      </c>
      <c r="R81" s="684"/>
      <c r="S81" s="684"/>
      <c r="T81" s="684"/>
      <c r="U81" s="684"/>
      <c r="V81" s="684"/>
      <c r="W81" s="684"/>
      <c r="X81" s="684"/>
      <c r="Y81" s="684"/>
      <c r="Z81" s="684"/>
      <c r="AA81" s="684"/>
      <c r="AB81" s="684"/>
      <c r="AC81" s="684"/>
      <c r="AD81" s="684"/>
      <c r="AE81" s="684"/>
      <c r="AF81" s="684"/>
      <c r="AG81" s="684"/>
      <c r="AH81" s="684"/>
      <c r="AI81" s="684"/>
      <c r="AJ81" s="684"/>
      <c r="AK81" s="684"/>
      <c r="AL81" s="684"/>
      <c r="AM81" s="684"/>
      <c r="AN81" s="684"/>
      <c r="AO81" s="684"/>
      <c r="AP81" s="684"/>
      <c r="AQ81" s="684"/>
      <c r="AR81" s="684"/>
      <c r="AS81" s="684"/>
      <c r="AT81" s="684"/>
      <c r="AU81" s="684"/>
      <c r="AV81" s="684"/>
      <c r="AW81" s="684"/>
      <c r="AX81" s="684"/>
      <c r="AY81" s="684"/>
      <c r="AZ81" s="684"/>
      <c r="BA81" s="684"/>
      <c r="BB81" s="684"/>
      <c r="BC81" s="684"/>
      <c r="BD81" s="684"/>
      <c r="BE81" s="684"/>
      <c r="BF81" s="684"/>
      <c r="BG81" s="684"/>
      <c r="BH81" s="684"/>
      <c r="BI81" s="684"/>
      <c r="BJ81" s="684"/>
      <c r="BK81" s="684"/>
      <c r="BL81" s="684"/>
      <c r="BM81" s="684"/>
      <c r="BN81" s="684"/>
      <c r="BO81" s="684"/>
      <c r="BP81" s="684"/>
      <c r="BQ81" s="684"/>
      <c r="BR81" s="684"/>
      <c r="BS81" s="684"/>
      <c r="BT81" s="684"/>
      <c r="BU81" s="684"/>
      <c r="BV81" s="684"/>
      <c r="BW81" s="684"/>
      <c r="BX81" s="684"/>
      <c r="BY81" s="684"/>
      <c r="BZ81" s="684"/>
      <c r="CA81" s="684"/>
      <c r="CB81" s="684"/>
      <c r="CC81" s="684"/>
      <c r="CD81" s="684"/>
      <c r="CE81" s="684"/>
      <c r="CF81" s="684"/>
      <c r="CG81" s="684"/>
      <c r="CH81" s="684"/>
      <c r="CI81" s="684"/>
      <c r="CJ81" s="684"/>
      <c r="CK81" s="684"/>
      <c r="CL81" s="684"/>
      <c r="CM81" s="684"/>
      <c r="CN81" s="684"/>
      <c r="CO81" s="684"/>
      <c r="CP81" s="684"/>
      <c r="CQ81" s="684"/>
      <c r="CR81" s="684"/>
      <c r="CS81" s="684"/>
      <c r="CT81" s="684"/>
      <c r="CU81" s="684"/>
      <c r="CV81" s="684"/>
      <c r="CW81" s="684"/>
      <c r="CX81" s="684"/>
    </row>
    <row r="82" spans="1:102" s="684" customFormat="1">
      <c r="A82" s="692"/>
      <c r="B82" s="692" t="s">
        <v>692</v>
      </c>
      <c r="C82" s="694" t="s">
        <v>139</v>
      </c>
      <c r="D82" s="699"/>
      <c r="E82" s="700"/>
      <c r="F82" s="700"/>
      <c r="G82" s="700"/>
      <c r="H82" s="701"/>
      <c r="I82" s="701"/>
      <c r="J82" s="701"/>
      <c r="K82" s="702"/>
      <c r="L82" s="702"/>
      <c r="M82" s="701"/>
      <c r="N82" s="710"/>
      <c r="O82" s="697"/>
      <c r="P82" s="697"/>
      <c r="Q82" s="698"/>
    </row>
    <row r="83" spans="1:102" s="684" customFormat="1">
      <c r="A83" s="692"/>
      <c r="B83" s="692" t="s">
        <v>710</v>
      </c>
      <c r="C83" s="694" t="s">
        <v>146</v>
      </c>
      <c r="D83" s="699"/>
      <c r="E83" s="700"/>
      <c r="F83" s="700"/>
      <c r="G83" s="700"/>
      <c r="H83" s="701"/>
      <c r="I83" s="701"/>
      <c r="J83" s="701"/>
      <c r="K83" s="702"/>
      <c r="L83" s="702"/>
      <c r="M83" s="701"/>
      <c r="N83" s="710"/>
      <c r="O83" s="697"/>
      <c r="P83" s="697"/>
      <c r="Q83" s="698"/>
      <c r="R83" s="736"/>
      <c r="S83" s="736"/>
      <c r="T83" s="736"/>
      <c r="U83" s="736"/>
      <c r="V83" s="736"/>
      <c r="W83" s="736"/>
      <c r="X83" s="736"/>
      <c r="Y83" s="736"/>
      <c r="Z83" s="736"/>
      <c r="AA83" s="736"/>
      <c r="AB83" s="736"/>
      <c r="AC83" s="736"/>
      <c r="AD83" s="736"/>
      <c r="AE83" s="736"/>
      <c r="AF83" s="736"/>
      <c r="AG83" s="736"/>
      <c r="AH83" s="736"/>
      <c r="AI83" s="736"/>
      <c r="AJ83" s="736"/>
      <c r="AK83" s="736"/>
      <c r="AL83" s="736"/>
      <c r="AM83" s="736"/>
      <c r="AN83" s="736"/>
      <c r="AO83" s="736"/>
      <c r="AP83" s="736"/>
      <c r="AQ83" s="736"/>
      <c r="AR83" s="736"/>
      <c r="AS83" s="736"/>
      <c r="AT83" s="736"/>
      <c r="AU83" s="736"/>
      <c r="AV83" s="736"/>
      <c r="AW83" s="736"/>
      <c r="AX83" s="736"/>
      <c r="AY83" s="736"/>
      <c r="AZ83" s="736"/>
      <c r="BA83" s="736"/>
      <c r="BB83" s="736"/>
      <c r="BC83" s="736"/>
      <c r="BD83" s="736"/>
      <c r="BE83" s="736"/>
      <c r="BF83" s="736"/>
      <c r="BG83" s="736"/>
      <c r="BH83" s="736"/>
      <c r="BI83" s="736"/>
      <c r="BJ83" s="736"/>
      <c r="BK83" s="736"/>
      <c r="BL83" s="736"/>
      <c r="BM83" s="736"/>
      <c r="BN83" s="736"/>
      <c r="BO83" s="736"/>
      <c r="BP83" s="736"/>
      <c r="BQ83" s="736"/>
      <c r="BR83" s="736"/>
      <c r="BS83" s="736"/>
      <c r="BT83" s="736"/>
      <c r="BU83" s="736"/>
      <c r="BV83" s="736"/>
      <c r="BW83" s="736"/>
      <c r="BX83" s="736"/>
      <c r="BY83" s="736"/>
      <c r="BZ83" s="736"/>
      <c r="CA83" s="736"/>
      <c r="CB83" s="736"/>
      <c r="CC83" s="736"/>
      <c r="CD83" s="736"/>
      <c r="CE83" s="736"/>
      <c r="CF83" s="736"/>
      <c r="CG83" s="736"/>
      <c r="CH83" s="736"/>
      <c r="CI83" s="736"/>
      <c r="CJ83" s="736"/>
      <c r="CK83" s="736"/>
      <c r="CL83" s="736"/>
      <c r="CM83" s="736"/>
      <c r="CN83" s="736"/>
      <c r="CO83" s="736"/>
      <c r="CP83" s="736"/>
      <c r="CQ83" s="736"/>
      <c r="CR83" s="736"/>
      <c r="CS83" s="736"/>
      <c r="CT83" s="736"/>
      <c r="CU83" s="736"/>
      <c r="CV83" s="736"/>
      <c r="CW83" s="736"/>
      <c r="CX83" s="736"/>
    </row>
    <row r="84" spans="1:102" s="684" customFormat="1" ht="36">
      <c r="A84" s="712" t="s">
        <v>270</v>
      </c>
      <c r="B84" s="712" t="s">
        <v>978</v>
      </c>
      <c r="C84" s="723" t="s">
        <v>146</v>
      </c>
      <c r="D84" s="714">
        <v>46045</v>
      </c>
      <c r="E84" s="723">
        <f ca="1">_xlfn.DAYS(TODAY(),D84)</f>
        <v>40</v>
      </c>
      <c r="F84" s="723"/>
      <c r="G84" s="723" t="s">
        <v>441</v>
      </c>
      <c r="H84" s="723" t="s">
        <v>979</v>
      </c>
      <c r="I84" s="723" t="s">
        <v>980</v>
      </c>
      <c r="J84" s="732" t="s">
        <v>981</v>
      </c>
      <c r="K84" s="723" t="s">
        <v>135</v>
      </c>
      <c r="L84" s="713" t="s">
        <v>323</v>
      </c>
      <c r="M84" s="723" t="s">
        <v>862</v>
      </c>
      <c r="N84" s="799" t="s">
        <v>982</v>
      </c>
      <c r="O84" s="678">
        <v>3</v>
      </c>
      <c r="P84" s="678">
        <v>3</v>
      </c>
      <c r="Q84" s="676">
        <v>1</v>
      </c>
    </row>
    <row r="85" spans="1:102" s="684" customFormat="1" ht="31.5" customHeight="1">
      <c r="A85" s="692"/>
      <c r="B85" s="692" t="s">
        <v>710</v>
      </c>
      <c r="C85" s="694" t="s">
        <v>151</v>
      </c>
      <c r="D85" s="699"/>
      <c r="E85" s="700"/>
      <c r="F85" s="700"/>
      <c r="G85" s="700"/>
      <c r="H85" s="701"/>
      <c r="I85" s="701"/>
      <c r="J85" s="702"/>
      <c r="K85" s="702"/>
      <c r="L85" s="702"/>
      <c r="M85" s="701"/>
      <c r="N85" s="793"/>
      <c r="O85" s="697"/>
      <c r="P85" s="697"/>
      <c r="Q85" s="698"/>
    </row>
    <row r="86" spans="1:102" s="684" customFormat="1" ht="108">
      <c r="A86" s="712" t="s">
        <v>270</v>
      </c>
      <c r="B86" s="722" t="s">
        <v>983</v>
      </c>
      <c r="C86" s="723" t="s">
        <v>151</v>
      </c>
      <c r="D86" s="724">
        <v>46055</v>
      </c>
      <c r="E86" s="723">
        <f ca="1">_xlfn.DAYS(TODAY(),D86)</f>
        <v>30</v>
      </c>
      <c r="F86" s="732" t="s">
        <v>984</v>
      </c>
      <c r="G86" s="713" t="s">
        <v>441</v>
      </c>
      <c r="H86" s="731" t="s">
        <v>490</v>
      </c>
      <c r="I86" s="723" t="s">
        <v>985</v>
      </c>
      <c r="J86" s="732" t="s">
        <v>861</v>
      </c>
      <c r="K86" s="723" t="s">
        <v>135</v>
      </c>
      <c r="L86" s="713" t="s">
        <v>323</v>
      </c>
      <c r="M86" s="723" t="s">
        <v>862</v>
      </c>
      <c r="N86" s="800" t="s">
        <v>986</v>
      </c>
      <c r="O86" s="678">
        <v>12.5</v>
      </c>
      <c r="P86" s="678">
        <v>11.5</v>
      </c>
      <c r="Q86" s="677">
        <v>1</v>
      </c>
    </row>
    <row r="87" spans="1:102" s="684" customFormat="1" ht="124.15" customHeight="1">
      <c r="A87" s="722" t="s">
        <v>270</v>
      </c>
      <c r="B87" s="722" t="s">
        <v>987</v>
      </c>
      <c r="C87" s="723" t="s">
        <v>151</v>
      </c>
      <c r="D87" s="724">
        <v>46085</v>
      </c>
      <c r="E87" s="723">
        <f ca="1">_xlfn.DAYS(TODAY(),D87)</f>
        <v>0</v>
      </c>
      <c r="F87" s="723"/>
      <c r="G87" s="723" t="s">
        <v>521</v>
      </c>
      <c r="H87" s="731" t="s">
        <v>582</v>
      </c>
      <c r="I87" s="723" t="s">
        <v>722</v>
      </c>
      <c r="J87" s="723" t="s">
        <v>988</v>
      </c>
      <c r="K87" s="723" t="s">
        <v>14</v>
      </c>
      <c r="L87" s="783" t="s">
        <v>418</v>
      </c>
      <c r="M87" s="723" t="s">
        <v>989</v>
      </c>
      <c r="N87" s="789" t="s">
        <v>990</v>
      </c>
      <c r="O87" s="733">
        <v>16</v>
      </c>
      <c r="P87" s="733">
        <v>16</v>
      </c>
      <c r="Q87" s="761">
        <v>1</v>
      </c>
    </row>
    <row r="88" spans="1:102" s="684" customFormat="1" ht="75.75" customHeight="1">
      <c r="A88" s="722" t="s">
        <v>270</v>
      </c>
      <c r="B88" s="722" t="s">
        <v>991</v>
      </c>
      <c r="C88" s="723" t="s">
        <v>151</v>
      </c>
      <c r="D88" s="724">
        <v>46079</v>
      </c>
      <c r="E88" s="723">
        <f ca="1">_xlfn.DAYS(TODAY(),D88)</f>
        <v>6</v>
      </c>
      <c r="F88" s="723"/>
      <c r="G88" s="723" t="s">
        <v>521</v>
      </c>
      <c r="H88" s="731" t="s">
        <v>582</v>
      </c>
      <c r="I88" s="723" t="s">
        <v>992</v>
      </c>
      <c r="J88" s="723" t="s">
        <v>829</v>
      </c>
      <c r="K88" s="723" t="s">
        <v>14</v>
      </c>
      <c r="L88" s="783" t="s">
        <v>418</v>
      </c>
      <c r="M88" s="723" t="s">
        <v>989</v>
      </c>
      <c r="N88" s="789" t="s">
        <v>993</v>
      </c>
      <c r="O88" s="733">
        <v>2.5</v>
      </c>
      <c r="P88" s="733">
        <v>2</v>
      </c>
      <c r="Q88" s="761">
        <v>3</v>
      </c>
    </row>
    <row r="89" spans="1:102" s="684" customFormat="1" ht="22.5" customHeight="1">
      <c r="A89" s="692"/>
      <c r="B89" s="692" t="s">
        <v>710</v>
      </c>
      <c r="C89" s="694" t="s">
        <v>157</v>
      </c>
      <c r="D89" s="699"/>
      <c r="E89" s="700"/>
      <c r="F89" s="700"/>
      <c r="G89" s="700"/>
      <c r="H89" s="701"/>
      <c r="I89" s="701"/>
      <c r="J89" s="701"/>
      <c r="K89" s="702"/>
      <c r="L89" s="702"/>
      <c r="M89" s="701"/>
      <c r="N89" s="764"/>
      <c r="O89" s="697"/>
      <c r="P89" s="697"/>
      <c r="Q89" s="698"/>
    </row>
    <row r="90" spans="1:102" s="684" customFormat="1">
      <c r="A90" s="722" t="s">
        <v>270</v>
      </c>
      <c r="B90" s="722" t="s">
        <v>921</v>
      </c>
      <c r="C90" s="723" t="s">
        <v>157</v>
      </c>
      <c r="D90" s="724">
        <v>46070</v>
      </c>
      <c r="E90" s="735">
        <f ca="1">_xlfn.DAYS(TODAY(),D90)</f>
        <v>15</v>
      </c>
      <c r="F90" s="735"/>
      <c r="G90" s="713" t="s">
        <v>441</v>
      </c>
      <c r="H90" s="731" t="s">
        <v>490</v>
      </c>
      <c r="I90" s="723" t="s">
        <v>727</v>
      </c>
      <c r="J90" s="732" t="s">
        <v>861</v>
      </c>
      <c r="K90" s="723" t="s">
        <v>135</v>
      </c>
      <c r="L90" s="713" t="s">
        <v>323</v>
      </c>
      <c r="M90" s="723" t="s">
        <v>862</v>
      </c>
      <c r="N90" s="789" t="s">
        <v>364</v>
      </c>
      <c r="O90" s="681">
        <v>4</v>
      </c>
      <c r="P90" s="681">
        <v>4</v>
      </c>
      <c r="Q90" s="762">
        <v>1</v>
      </c>
    </row>
    <row r="91" spans="1:102" s="684" customFormat="1" ht="36">
      <c r="A91" s="712" t="s">
        <v>270</v>
      </c>
      <c r="B91" s="786" t="s">
        <v>994</v>
      </c>
      <c r="C91" s="723" t="s">
        <v>157</v>
      </c>
      <c r="D91" s="724">
        <v>46065</v>
      </c>
      <c r="E91" s="723">
        <f ca="1">_xlfn.DAYS(TODAY(),D91)</f>
        <v>20</v>
      </c>
      <c r="F91" s="723" t="s">
        <v>995</v>
      </c>
      <c r="G91" s="713" t="s">
        <v>521</v>
      </c>
      <c r="H91" s="731" t="s">
        <v>905</v>
      </c>
      <c r="I91" s="723" t="s">
        <v>996</v>
      </c>
      <c r="J91" s="723" t="s">
        <v>829</v>
      </c>
      <c r="K91" s="723" t="s">
        <v>14</v>
      </c>
      <c r="L91" s="713" t="s">
        <v>749</v>
      </c>
      <c r="M91" s="723" t="s">
        <v>997</v>
      </c>
      <c r="N91" s="789" t="s">
        <v>998</v>
      </c>
      <c r="O91" s="733">
        <v>1.75</v>
      </c>
      <c r="P91" s="733">
        <v>1.5</v>
      </c>
      <c r="Q91" s="761">
        <v>1</v>
      </c>
    </row>
    <row r="92" spans="1:102" s="684" customFormat="1">
      <c r="A92" s="694"/>
      <c r="B92" s="694" t="s">
        <v>710</v>
      </c>
      <c r="C92" s="694" t="s">
        <v>161</v>
      </c>
      <c r="D92" s="699"/>
      <c r="E92" s="700"/>
      <c r="F92" s="700"/>
      <c r="G92" s="700"/>
      <c r="H92" s="701"/>
      <c r="I92" s="701"/>
      <c r="J92" s="701"/>
      <c r="K92" s="702"/>
      <c r="L92" s="702"/>
      <c r="M92" s="701"/>
      <c r="N92" s="710"/>
      <c r="O92" s="697"/>
      <c r="P92" s="697"/>
      <c r="Q92" s="698"/>
    </row>
    <row r="93" spans="1:102" s="684" customFormat="1" ht="36">
      <c r="A93" s="712" t="s">
        <v>270</v>
      </c>
      <c r="B93" s="713" t="s">
        <v>999</v>
      </c>
      <c r="C93" s="713" t="s">
        <v>161</v>
      </c>
      <c r="D93" s="714">
        <v>46027</v>
      </c>
      <c r="E93" s="713">
        <f ca="1">_xlfn.DAYS(TODAY(),D93)</f>
        <v>58</v>
      </c>
      <c r="F93" s="713" t="s">
        <v>1000</v>
      </c>
      <c r="G93" s="713" t="s">
        <v>441</v>
      </c>
      <c r="H93" s="717" t="s">
        <v>490</v>
      </c>
      <c r="I93" s="713" t="s">
        <v>1001</v>
      </c>
      <c r="J93" s="715" t="s">
        <v>696</v>
      </c>
      <c r="K93" s="713" t="s">
        <v>135</v>
      </c>
      <c r="L93" s="713" t="s">
        <v>323</v>
      </c>
      <c r="M93" s="713" t="s">
        <v>862</v>
      </c>
      <c r="N93" s="790" t="s">
        <v>1002</v>
      </c>
      <c r="O93" s="682">
        <v>5</v>
      </c>
      <c r="P93" s="682">
        <v>5</v>
      </c>
      <c r="Q93" s="676">
        <v>1</v>
      </c>
    </row>
    <row r="94" spans="1:102" s="684" customFormat="1" ht="57">
      <c r="A94" s="722" t="s">
        <v>270</v>
      </c>
      <c r="B94" s="722" t="s">
        <v>777</v>
      </c>
      <c r="C94" s="723" t="s">
        <v>161</v>
      </c>
      <c r="D94" s="724">
        <v>46084</v>
      </c>
      <c r="E94" s="723">
        <f ca="1">_xlfn.DAYS(TODAY(),D94)</f>
        <v>1</v>
      </c>
      <c r="F94" s="723"/>
      <c r="G94" s="723" t="s">
        <v>521</v>
      </c>
      <c r="H94" s="731" t="s">
        <v>582</v>
      </c>
      <c r="I94" s="723" t="s">
        <v>1003</v>
      </c>
      <c r="J94" s="723" t="s">
        <v>829</v>
      </c>
      <c r="K94" s="723" t="s">
        <v>14</v>
      </c>
      <c r="L94" s="782" t="s">
        <v>418</v>
      </c>
      <c r="M94" s="723" t="s">
        <v>989</v>
      </c>
      <c r="N94" s="789" t="s">
        <v>1004</v>
      </c>
      <c r="O94" s="733">
        <v>1.75</v>
      </c>
      <c r="P94" s="733">
        <v>1</v>
      </c>
      <c r="Q94" s="761">
        <v>2</v>
      </c>
    </row>
    <row r="95" spans="1:102" s="684" customFormat="1">
      <c r="A95" s="776"/>
      <c r="B95" s="768"/>
      <c r="C95" s="768" t="s">
        <v>1005</v>
      </c>
      <c r="D95" s="769"/>
      <c r="E95" s="770"/>
      <c r="F95" s="770"/>
      <c r="G95" s="770"/>
      <c r="H95" s="771"/>
      <c r="I95" s="772"/>
      <c r="J95" s="772"/>
      <c r="K95" s="772"/>
      <c r="L95" s="772"/>
      <c r="M95" s="772"/>
      <c r="N95" s="773"/>
      <c r="O95" s="774"/>
      <c r="P95" s="774"/>
      <c r="Q95" s="774"/>
    </row>
    <row r="96" spans="1:102" s="684" customFormat="1" ht="87" customHeight="1">
      <c r="A96" s="776"/>
      <c r="B96" s="768"/>
      <c r="C96" s="768" t="s">
        <v>1005</v>
      </c>
      <c r="D96" s="769"/>
      <c r="E96" s="770"/>
      <c r="F96" s="770"/>
      <c r="G96" s="770"/>
      <c r="H96" s="771"/>
      <c r="I96" s="772"/>
      <c r="J96" s="772"/>
      <c r="K96" s="772"/>
      <c r="L96" s="772"/>
      <c r="M96" s="772"/>
      <c r="N96" s="773"/>
      <c r="O96" s="774"/>
      <c r="P96" s="774"/>
      <c r="Q96" s="774"/>
    </row>
    <row r="97" spans="1:17" s="684" customFormat="1" ht="87" customHeight="1">
      <c r="A97" s="776"/>
      <c r="B97" s="768"/>
      <c r="C97" s="768" t="s">
        <v>1005</v>
      </c>
      <c r="D97" s="769"/>
      <c r="E97" s="770"/>
      <c r="F97" s="770"/>
      <c r="G97" s="770"/>
      <c r="H97" s="771"/>
      <c r="I97" s="772"/>
      <c r="J97" s="772"/>
      <c r="K97" s="772"/>
      <c r="L97" s="772"/>
      <c r="M97" s="772"/>
      <c r="N97" s="773"/>
      <c r="O97" s="774"/>
      <c r="P97" s="774"/>
      <c r="Q97" s="774"/>
    </row>
    <row r="98" spans="1:17" ht="43.5" customHeight="1">
      <c r="A98" s="776"/>
      <c r="B98" s="768"/>
      <c r="C98" s="768" t="s">
        <v>1005</v>
      </c>
      <c r="D98" s="769"/>
      <c r="E98" s="770"/>
      <c r="F98" s="770"/>
      <c r="G98" s="770"/>
      <c r="H98" s="771"/>
      <c r="I98" s="772"/>
      <c r="J98" s="772"/>
      <c r="K98" s="772"/>
      <c r="L98" s="772"/>
      <c r="M98" s="772"/>
      <c r="N98" s="773"/>
      <c r="O98" s="774"/>
      <c r="P98" s="774"/>
      <c r="Q98" s="774"/>
    </row>
    <row r="99" spans="1:17">
      <c r="A99" s="776"/>
      <c r="B99" s="768"/>
      <c r="C99" s="768" t="s">
        <v>1005</v>
      </c>
      <c r="D99" s="769"/>
      <c r="E99" s="770"/>
      <c r="F99" s="770"/>
      <c r="G99" s="770"/>
      <c r="H99" s="771"/>
      <c r="I99" s="772"/>
      <c r="J99" s="772"/>
      <c r="K99" s="772"/>
      <c r="L99" s="772"/>
      <c r="M99" s="772"/>
      <c r="N99" s="773"/>
      <c r="O99" s="774"/>
      <c r="P99" s="774"/>
      <c r="Q99" s="774"/>
    </row>
    <row r="100" spans="1:17">
      <c r="A100" s="776"/>
      <c r="B100" s="768"/>
      <c r="C100" s="768" t="s">
        <v>1005</v>
      </c>
      <c r="D100" s="769"/>
      <c r="E100" s="770"/>
      <c r="F100" s="770"/>
      <c r="G100" s="770"/>
      <c r="H100" s="771"/>
      <c r="I100" s="772"/>
      <c r="J100" s="772"/>
      <c r="K100" s="772"/>
      <c r="L100" s="772"/>
      <c r="M100" s="772"/>
      <c r="N100" s="773"/>
      <c r="O100" s="774"/>
      <c r="P100" s="774"/>
      <c r="Q100" s="774"/>
    </row>
    <row r="101" spans="1:17">
      <c r="A101" s="776"/>
      <c r="B101" s="768"/>
      <c r="C101" s="768" t="s">
        <v>1005</v>
      </c>
      <c r="D101" s="769"/>
      <c r="E101" s="770"/>
      <c r="F101" s="770"/>
      <c r="G101" s="770"/>
      <c r="H101" s="771"/>
      <c r="I101" s="772"/>
      <c r="J101" s="772"/>
      <c r="K101" s="772"/>
      <c r="L101" s="772"/>
      <c r="M101" s="772"/>
      <c r="N101" s="773"/>
      <c r="O101" s="774"/>
      <c r="P101" s="774"/>
      <c r="Q101" s="774"/>
    </row>
    <row r="102" spans="1:17">
      <c r="A102" s="776"/>
      <c r="B102" s="768"/>
      <c r="C102" s="768" t="s">
        <v>1005</v>
      </c>
      <c r="D102" s="769"/>
      <c r="E102" s="770"/>
      <c r="F102" s="770"/>
      <c r="G102" s="770"/>
      <c r="H102" s="771"/>
      <c r="I102" s="772"/>
      <c r="J102" s="772"/>
      <c r="K102" s="772"/>
      <c r="L102" s="772"/>
      <c r="M102" s="772"/>
      <c r="N102" s="773"/>
      <c r="O102" s="774"/>
      <c r="P102" s="774"/>
      <c r="Q102" s="774"/>
    </row>
    <row r="103" spans="1:17">
      <c r="A103" s="776"/>
      <c r="B103" s="768"/>
      <c r="C103" s="768" t="s">
        <v>1005</v>
      </c>
      <c r="D103" s="769"/>
      <c r="E103" s="770"/>
      <c r="F103" s="770"/>
      <c r="G103" s="770"/>
      <c r="H103" s="771"/>
      <c r="I103" s="772"/>
      <c r="J103" s="772"/>
      <c r="K103" s="772"/>
      <c r="L103" s="772"/>
      <c r="M103" s="772"/>
      <c r="N103" s="773"/>
      <c r="O103" s="774"/>
      <c r="P103" s="774"/>
      <c r="Q103" s="774"/>
    </row>
    <row r="104" spans="1:17">
      <c r="A104" s="776"/>
      <c r="B104" s="768"/>
      <c r="C104" s="768" t="s">
        <v>1005</v>
      </c>
      <c r="D104" s="769"/>
      <c r="E104" s="770"/>
      <c r="F104" s="770"/>
      <c r="G104" s="770"/>
      <c r="H104" s="771"/>
      <c r="I104" s="772"/>
      <c r="J104" s="772"/>
      <c r="K104" s="772"/>
      <c r="L104" s="772"/>
      <c r="M104" s="772"/>
      <c r="N104" s="773"/>
      <c r="O104" s="774"/>
      <c r="P104" s="774"/>
      <c r="Q104" s="774"/>
    </row>
    <row r="105" spans="1:17">
      <c r="A105" s="776"/>
      <c r="B105" s="768"/>
      <c r="C105" s="768" t="s">
        <v>1005</v>
      </c>
      <c r="D105" s="769"/>
      <c r="E105" s="770"/>
      <c r="F105" s="770"/>
      <c r="G105" s="770"/>
      <c r="H105" s="771"/>
      <c r="I105" s="772"/>
      <c r="J105" s="772"/>
      <c r="K105" s="772"/>
      <c r="L105" s="772"/>
      <c r="M105" s="772"/>
      <c r="N105" s="773"/>
      <c r="O105" s="774"/>
      <c r="P105" s="774"/>
      <c r="Q105" s="774"/>
    </row>
    <row r="106" spans="1:17">
      <c r="A106" s="776"/>
      <c r="B106" s="768"/>
      <c r="C106" s="768" t="s">
        <v>1005</v>
      </c>
      <c r="D106" s="769"/>
      <c r="E106" s="770"/>
      <c r="F106" s="770"/>
      <c r="G106" s="770"/>
      <c r="H106" s="771"/>
      <c r="I106" s="772"/>
      <c r="J106" s="772"/>
      <c r="K106" s="772"/>
      <c r="L106" s="772"/>
      <c r="M106" s="772"/>
      <c r="N106" s="773"/>
      <c r="O106" s="774"/>
      <c r="P106" s="774"/>
      <c r="Q106" s="774"/>
    </row>
    <row r="107" spans="1:17">
      <c r="A107" s="776"/>
      <c r="B107" s="768"/>
      <c r="C107" s="768" t="s">
        <v>1005</v>
      </c>
      <c r="D107" s="769"/>
      <c r="E107" s="770"/>
      <c r="F107" s="770"/>
      <c r="G107" s="770"/>
      <c r="H107" s="771"/>
      <c r="I107" s="772"/>
      <c r="J107" s="772"/>
      <c r="K107" s="772"/>
      <c r="L107" s="772"/>
      <c r="M107" s="772"/>
      <c r="N107" s="773"/>
      <c r="O107" s="774"/>
      <c r="P107" s="774"/>
      <c r="Q107" s="774"/>
    </row>
    <row r="108" spans="1:17">
      <c r="A108" s="776"/>
      <c r="B108" s="768"/>
      <c r="C108" s="768" t="s">
        <v>1005</v>
      </c>
      <c r="D108" s="769"/>
      <c r="E108" s="770"/>
      <c r="F108" s="770"/>
      <c r="G108" s="770"/>
      <c r="H108" s="771"/>
      <c r="I108" s="772"/>
      <c r="J108" s="772"/>
      <c r="K108" s="772"/>
      <c r="L108" s="772"/>
      <c r="M108" s="772"/>
      <c r="N108" s="773"/>
      <c r="O108" s="774"/>
      <c r="P108" s="774"/>
      <c r="Q108" s="774"/>
    </row>
    <row r="109" spans="1:17">
      <c r="A109" s="776"/>
      <c r="B109" s="768"/>
      <c r="C109" s="768" t="s">
        <v>1005</v>
      </c>
      <c r="D109" s="769"/>
      <c r="E109" s="770"/>
      <c r="F109" s="770"/>
      <c r="G109" s="770"/>
      <c r="H109" s="771"/>
      <c r="I109" s="772"/>
      <c r="J109" s="772"/>
      <c r="K109" s="772"/>
      <c r="L109" s="772"/>
      <c r="M109" s="772"/>
      <c r="N109" s="773"/>
      <c r="O109" s="774"/>
      <c r="P109" s="774"/>
      <c r="Q109" s="774"/>
    </row>
    <row r="110" spans="1:17">
      <c r="A110" s="776"/>
      <c r="B110" s="768"/>
      <c r="C110" s="768" t="s">
        <v>1005</v>
      </c>
      <c r="D110" s="769"/>
      <c r="E110" s="770"/>
      <c r="F110" s="770"/>
      <c r="G110" s="770"/>
      <c r="H110" s="771"/>
      <c r="I110" s="772"/>
      <c r="J110" s="772"/>
      <c r="K110" s="772"/>
      <c r="L110" s="772"/>
      <c r="M110" s="772"/>
      <c r="N110" s="773"/>
      <c r="O110" s="774"/>
      <c r="P110" s="774"/>
      <c r="Q110" s="774"/>
    </row>
    <row r="111" spans="1:17">
      <c r="A111" s="776"/>
      <c r="B111" s="768"/>
      <c r="C111" s="768" t="s">
        <v>1005</v>
      </c>
      <c r="D111" s="769"/>
      <c r="E111" s="770"/>
      <c r="F111" s="770"/>
      <c r="G111" s="770"/>
      <c r="H111" s="771"/>
      <c r="I111" s="772"/>
      <c r="J111" s="772"/>
      <c r="K111" s="772"/>
      <c r="L111" s="772"/>
      <c r="M111" s="772"/>
      <c r="N111" s="773"/>
      <c r="O111" s="774"/>
      <c r="P111" s="774"/>
      <c r="Q111" s="774"/>
    </row>
    <row r="112" spans="1:17">
      <c r="A112" s="776"/>
      <c r="B112" s="768"/>
      <c r="C112" s="768" t="s">
        <v>1005</v>
      </c>
      <c r="D112" s="769"/>
      <c r="E112" s="770"/>
      <c r="F112" s="770"/>
      <c r="G112" s="770"/>
      <c r="H112" s="771"/>
      <c r="I112" s="772"/>
      <c r="J112" s="772"/>
      <c r="K112" s="772"/>
      <c r="L112" s="772"/>
      <c r="M112" s="772"/>
      <c r="N112" s="773"/>
      <c r="O112" s="774"/>
      <c r="P112" s="774"/>
      <c r="Q112" s="774"/>
    </row>
    <row r="113" spans="1:17">
      <c r="A113" s="776"/>
      <c r="B113" s="768"/>
      <c r="C113" s="768" t="s">
        <v>1005</v>
      </c>
      <c r="D113" s="769"/>
      <c r="E113" s="770"/>
      <c r="F113" s="770"/>
      <c r="G113" s="770"/>
      <c r="H113" s="771"/>
      <c r="I113" s="772"/>
      <c r="J113" s="772"/>
      <c r="K113" s="772"/>
      <c r="L113" s="772"/>
      <c r="M113" s="772"/>
      <c r="N113" s="773"/>
      <c r="O113" s="774"/>
      <c r="P113" s="774"/>
      <c r="Q113" s="774"/>
    </row>
    <row r="114" spans="1:17">
      <c r="A114" s="776"/>
      <c r="B114" s="768"/>
      <c r="C114" s="768" t="s">
        <v>1005</v>
      </c>
      <c r="D114" s="769"/>
      <c r="E114" s="770"/>
      <c r="F114" s="770"/>
      <c r="G114" s="770"/>
      <c r="H114" s="771"/>
      <c r="I114" s="772"/>
      <c r="J114" s="772"/>
      <c r="K114" s="772"/>
      <c r="L114" s="772"/>
      <c r="M114" s="772"/>
      <c r="N114" s="773"/>
      <c r="O114" s="774"/>
      <c r="P114" s="774"/>
      <c r="Q114" s="774"/>
    </row>
    <row r="115" spans="1:17">
      <c r="A115" s="776"/>
      <c r="B115" s="768"/>
      <c r="C115" s="768" t="s">
        <v>1005</v>
      </c>
      <c r="D115" s="769"/>
      <c r="E115" s="770"/>
      <c r="F115" s="770"/>
      <c r="G115" s="770"/>
      <c r="H115" s="771"/>
      <c r="I115" s="772"/>
      <c r="J115" s="772"/>
      <c r="K115" s="772"/>
      <c r="L115" s="772"/>
      <c r="M115" s="772"/>
      <c r="N115" s="773"/>
      <c r="O115" s="774"/>
      <c r="P115" s="774"/>
      <c r="Q115" s="774"/>
    </row>
    <row r="116" spans="1:17">
      <c r="A116" s="776"/>
      <c r="B116" s="768"/>
      <c r="C116" s="768" t="s">
        <v>1005</v>
      </c>
      <c r="D116" s="769"/>
      <c r="E116" s="770"/>
      <c r="F116" s="770"/>
      <c r="G116" s="770"/>
      <c r="H116" s="771"/>
      <c r="I116" s="772"/>
      <c r="J116" s="772"/>
      <c r="K116" s="772"/>
      <c r="L116" s="772"/>
      <c r="M116" s="772"/>
      <c r="N116" s="773"/>
      <c r="O116" s="774"/>
      <c r="P116" s="774"/>
      <c r="Q116" s="774"/>
    </row>
    <row r="117" spans="1:17">
      <c r="A117" s="776"/>
      <c r="B117" s="768"/>
      <c r="C117" s="768" t="s">
        <v>1005</v>
      </c>
      <c r="D117" s="769"/>
      <c r="E117" s="770"/>
      <c r="F117" s="770"/>
      <c r="G117" s="770"/>
      <c r="H117" s="771"/>
      <c r="I117" s="772"/>
      <c r="J117" s="772"/>
      <c r="K117" s="772"/>
      <c r="L117" s="772"/>
      <c r="M117" s="772"/>
      <c r="N117" s="773"/>
      <c r="O117" s="774"/>
      <c r="P117" s="774"/>
      <c r="Q117" s="774"/>
    </row>
    <row r="118" spans="1:17">
      <c r="A118" s="776"/>
      <c r="B118" s="768"/>
      <c r="C118" s="768" t="s">
        <v>1005</v>
      </c>
      <c r="D118" s="769"/>
      <c r="E118" s="770"/>
      <c r="F118" s="770"/>
      <c r="G118" s="770"/>
      <c r="H118" s="771"/>
      <c r="I118" s="772"/>
      <c r="J118" s="772"/>
      <c r="K118" s="772"/>
      <c r="L118" s="772"/>
      <c r="M118" s="772"/>
      <c r="N118" s="773"/>
      <c r="O118" s="774"/>
      <c r="P118" s="774"/>
      <c r="Q118" s="774"/>
    </row>
    <row r="119" spans="1:17">
      <c r="A119" s="776"/>
      <c r="B119" s="768"/>
      <c r="C119" s="768" t="s">
        <v>1005</v>
      </c>
      <c r="D119" s="769"/>
      <c r="E119" s="770"/>
      <c r="F119" s="770"/>
      <c r="G119" s="770"/>
      <c r="H119" s="771"/>
      <c r="I119" s="772"/>
      <c r="J119" s="772"/>
      <c r="K119" s="772"/>
      <c r="L119" s="772"/>
      <c r="M119" s="772"/>
      <c r="N119" s="773"/>
      <c r="O119" s="774"/>
      <c r="P119" s="774"/>
      <c r="Q119" s="774"/>
    </row>
    <row r="120" spans="1:17">
      <c r="A120" s="776"/>
      <c r="B120" s="768"/>
      <c r="C120" s="768" t="s">
        <v>1005</v>
      </c>
      <c r="D120" s="769"/>
      <c r="E120" s="770"/>
      <c r="F120" s="770"/>
      <c r="G120" s="770"/>
      <c r="H120" s="771"/>
      <c r="I120" s="772"/>
      <c r="J120" s="772"/>
      <c r="K120" s="772"/>
      <c r="L120" s="772"/>
      <c r="M120" s="772"/>
      <c r="N120" s="773"/>
      <c r="O120" s="774"/>
      <c r="P120" s="774"/>
      <c r="Q120" s="774"/>
    </row>
    <row r="121" spans="1:17">
      <c r="A121" s="776"/>
      <c r="B121" s="768"/>
      <c r="C121" s="768" t="s">
        <v>1005</v>
      </c>
      <c r="D121" s="769"/>
      <c r="E121" s="770"/>
      <c r="F121" s="770"/>
      <c r="G121" s="770"/>
      <c r="H121" s="771"/>
      <c r="I121" s="772"/>
      <c r="J121" s="772"/>
      <c r="K121" s="772"/>
      <c r="L121" s="772"/>
      <c r="M121" s="772"/>
      <c r="N121" s="773"/>
      <c r="O121" s="774"/>
      <c r="P121" s="774"/>
      <c r="Q121" s="774"/>
    </row>
    <row r="122" spans="1:17">
      <c r="A122" s="776"/>
      <c r="B122" s="768"/>
      <c r="C122" s="768" t="s">
        <v>1005</v>
      </c>
      <c r="D122" s="769"/>
      <c r="E122" s="770"/>
      <c r="F122" s="770"/>
      <c r="G122" s="770"/>
      <c r="H122" s="771"/>
      <c r="I122" s="772"/>
      <c r="J122" s="772"/>
      <c r="K122" s="772"/>
      <c r="L122" s="772"/>
      <c r="M122" s="772"/>
      <c r="N122" s="773"/>
      <c r="O122" s="774"/>
      <c r="P122" s="774"/>
      <c r="Q122" s="774"/>
    </row>
    <row r="123" spans="1:17">
      <c r="A123" s="776"/>
      <c r="B123" s="768"/>
      <c r="C123" s="768" t="s">
        <v>1005</v>
      </c>
      <c r="D123" s="769"/>
      <c r="E123" s="770"/>
      <c r="F123" s="770"/>
      <c r="G123" s="770"/>
      <c r="H123" s="771"/>
      <c r="I123" s="772"/>
      <c r="J123" s="772"/>
      <c r="K123" s="772"/>
      <c r="L123" s="772"/>
      <c r="M123" s="772"/>
      <c r="N123" s="773"/>
      <c r="O123" s="774"/>
      <c r="P123" s="774"/>
      <c r="Q123" s="774"/>
    </row>
    <row r="124" spans="1:17">
      <c r="A124" s="776"/>
      <c r="B124" s="768"/>
      <c r="C124" s="768" t="s">
        <v>1005</v>
      </c>
      <c r="D124" s="769"/>
      <c r="E124" s="770"/>
      <c r="F124" s="770"/>
      <c r="G124" s="770"/>
      <c r="H124" s="771"/>
      <c r="I124" s="772"/>
      <c r="J124" s="772"/>
      <c r="K124" s="772"/>
      <c r="L124" s="772"/>
      <c r="M124" s="772"/>
      <c r="N124" s="773"/>
      <c r="O124" s="774"/>
      <c r="P124" s="774"/>
      <c r="Q124" s="774"/>
    </row>
    <row r="125" spans="1:17">
      <c r="A125" s="776"/>
      <c r="B125" s="768"/>
      <c r="C125" s="768" t="s">
        <v>1005</v>
      </c>
      <c r="D125" s="769"/>
      <c r="E125" s="770"/>
      <c r="F125" s="770"/>
      <c r="G125" s="770"/>
      <c r="H125" s="771"/>
      <c r="I125" s="772"/>
      <c r="J125" s="772"/>
      <c r="K125" s="772"/>
      <c r="L125" s="772"/>
      <c r="M125" s="772"/>
      <c r="N125" s="773"/>
      <c r="O125" s="774"/>
      <c r="P125" s="774"/>
      <c r="Q125" s="774"/>
    </row>
    <row r="126" spans="1:17">
      <c r="A126" s="776"/>
      <c r="B126" s="768"/>
      <c r="C126" s="768" t="s">
        <v>1005</v>
      </c>
      <c r="D126" s="769"/>
      <c r="E126" s="770"/>
      <c r="F126" s="770"/>
      <c r="G126" s="770"/>
      <c r="H126" s="771"/>
      <c r="I126" s="772"/>
      <c r="J126" s="772"/>
      <c r="K126" s="772"/>
      <c r="L126" s="772"/>
      <c r="M126" s="772"/>
      <c r="N126" s="773"/>
      <c r="O126" s="774"/>
      <c r="P126" s="774"/>
      <c r="Q126" s="774"/>
    </row>
    <row r="127" spans="1:17">
      <c r="A127" s="776"/>
      <c r="B127" s="768"/>
      <c r="C127" s="768" t="s">
        <v>1005</v>
      </c>
      <c r="D127" s="769"/>
      <c r="E127" s="770"/>
      <c r="F127" s="770"/>
      <c r="G127" s="770"/>
      <c r="H127" s="771"/>
      <c r="I127" s="772"/>
      <c r="J127" s="772"/>
      <c r="K127" s="772"/>
      <c r="L127" s="772"/>
      <c r="M127" s="772"/>
      <c r="N127" s="773"/>
      <c r="O127" s="774"/>
      <c r="P127" s="774"/>
      <c r="Q127" s="774"/>
    </row>
    <row r="128" spans="1:17">
      <c r="A128" s="776"/>
      <c r="B128" s="768"/>
      <c r="C128" s="768" t="s">
        <v>1005</v>
      </c>
      <c r="D128" s="769"/>
      <c r="E128" s="770"/>
      <c r="F128" s="770"/>
      <c r="G128" s="770"/>
      <c r="H128" s="771"/>
      <c r="I128" s="772"/>
      <c r="J128" s="772"/>
      <c r="K128" s="772"/>
      <c r="L128" s="772"/>
      <c r="M128" s="772"/>
      <c r="N128" s="773"/>
      <c r="O128" s="774"/>
      <c r="P128" s="774"/>
      <c r="Q128" s="774"/>
    </row>
    <row r="129" spans="1:17">
      <c r="A129" s="776"/>
      <c r="B129" s="768"/>
      <c r="C129" s="768" t="s">
        <v>1005</v>
      </c>
      <c r="D129" s="769"/>
      <c r="E129" s="770"/>
      <c r="F129" s="770"/>
      <c r="G129" s="770"/>
      <c r="H129" s="771"/>
      <c r="I129" s="772"/>
      <c r="J129" s="772"/>
      <c r="K129" s="772"/>
      <c r="L129" s="772"/>
      <c r="M129" s="772"/>
      <c r="N129" s="773"/>
      <c r="O129" s="774"/>
      <c r="P129" s="774"/>
      <c r="Q129" s="774"/>
    </row>
    <row r="130" spans="1:17">
      <c r="A130" s="776"/>
      <c r="B130" s="768"/>
      <c r="C130" s="768" t="s">
        <v>1005</v>
      </c>
      <c r="D130" s="769"/>
      <c r="E130" s="770"/>
      <c r="F130" s="770"/>
      <c r="G130" s="770"/>
      <c r="H130" s="771"/>
      <c r="I130" s="772"/>
      <c r="J130" s="772"/>
      <c r="K130" s="772"/>
      <c r="L130" s="772"/>
      <c r="M130" s="772"/>
      <c r="N130" s="773"/>
      <c r="O130" s="774"/>
      <c r="P130" s="774"/>
      <c r="Q130" s="774"/>
    </row>
    <row r="131" spans="1:17">
      <c r="A131" s="776"/>
      <c r="B131" s="768"/>
      <c r="C131" s="768" t="s">
        <v>1005</v>
      </c>
      <c r="D131" s="769"/>
      <c r="E131" s="770"/>
      <c r="F131" s="770"/>
      <c r="G131" s="770"/>
      <c r="H131" s="771"/>
      <c r="I131" s="772"/>
      <c r="J131" s="772"/>
      <c r="K131" s="772"/>
      <c r="L131" s="772"/>
      <c r="M131" s="772"/>
      <c r="N131" s="773"/>
      <c r="O131" s="774"/>
      <c r="P131" s="774"/>
      <c r="Q131" s="774"/>
    </row>
    <row r="132" spans="1:17">
      <c r="A132" s="776"/>
      <c r="B132" s="768"/>
      <c r="C132" s="768" t="s">
        <v>1005</v>
      </c>
      <c r="D132" s="769"/>
      <c r="E132" s="770"/>
      <c r="F132" s="770"/>
      <c r="G132" s="770"/>
      <c r="H132" s="771"/>
      <c r="I132" s="772"/>
      <c r="J132" s="772"/>
      <c r="K132" s="772"/>
      <c r="L132" s="772"/>
      <c r="M132" s="772"/>
      <c r="N132" s="773"/>
      <c r="O132" s="774"/>
      <c r="P132" s="774"/>
      <c r="Q132" s="774"/>
    </row>
    <row r="133" spans="1:17">
      <c r="A133" s="776"/>
      <c r="B133" s="768"/>
      <c r="C133" s="768" t="s">
        <v>1005</v>
      </c>
      <c r="D133" s="769"/>
      <c r="E133" s="770"/>
      <c r="F133" s="770"/>
      <c r="G133" s="770"/>
      <c r="H133" s="771"/>
      <c r="I133" s="772"/>
      <c r="J133" s="772"/>
      <c r="K133" s="772"/>
      <c r="L133" s="772"/>
      <c r="M133" s="772"/>
      <c r="N133" s="773"/>
      <c r="O133" s="774"/>
      <c r="P133" s="774"/>
      <c r="Q133" s="774"/>
    </row>
    <row r="134" spans="1:17">
      <c r="A134" s="776"/>
      <c r="B134" s="768"/>
      <c r="C134" s="768" t="s">
        <v>1005</v>
      </c>
      <c r="D134" s="769"/>
      <c r="E134" s="770"/>
      <c r="F134" s="770"/>
      <c r="G134" s="770"/>
      <c r="H134" s="771"/>
      <c r="I134" s="772"/>
      <c r="J134" s="772"/>
      <c r="K134" s="772"/>
      <c r="L134" s="772"/>
      <c r="M134" s="772"/>
      <c r="N134" s="773"/>
      <c r="O134" s="774"/>
      <c r="P134" s="774"/>
      <c r="Q134" s="774"/>
    </row>
    <row r="135" spans="1:17">
      <c r="A135" s="776"/>
      <c r="B135" s="768"/>
      <c r="C135" s="768" t="s">
        <v>1005</v>
      </c>
      <c r="D135" s="769"/>
      <c r="E135" s="770"/>
      <c r="F135" s="770"/>
      <c r="G135" s="770"/>
      <c r="H135" s="771"/>
      <c r="I135" s="772"/>
      <c r="J135" s="772"/>
      <c r="K135" s="772"/>
      <c r="L135" s="772"/>
      <c r="M135" s="772"/>
      <c r="N135" s="773"/>
      <c r="O135" s="774"/>
      <c r="P135" s="774"/>
      <c r="Q135" s="774"/>
    </row>
    <row r="136" spans="1:17">
      <c r="A136" s="776"/>
      <c r="B136" s="768"/>
      <c r="C136" s="768" t="s">
        <v>1005</v>
      </c>
      <c r="D136" s="769"/>
      <c r="E136" s="770"/>
      <c r="F136" s="770"/>
      <c r="G136" s="770"/>
      <c r="H136" s="771"/>
      <c r="I136" s="772"/>
      <c r="J136" s="772"/>
      <c r="K136" s="772"/>
      <c r="L136" s="772"/>
      <c r="M136" s="772"/>
      <c r="N136" s="773"/>
      <c r="O136" s="774"/>
      <c r="P136" s="774"/>
      <c r="Q136" s="774"/>
    </row>
    <row r="137" spans="1:17">
      <c r="A137" s="776"/>
      <c r="B137" s="768"/>
      <c r="C137" s="768" t="s">
        <v>1005</v>
      </c>
      <c r="D137" s="769"/>
      <c r="E137" s="770"/>
      <c r="F137" s="770"/>
      <c r="G137" s="770"/>
      <c r="H137" s="771"/>
      <c r="I137" s="772"/>
      <c r="J137" s="772"/>
      <c r="K137" s="772"/>
      <c r="L137" s="772"/>
      <c r="M137" s="772"/>
      <c r="N137" s="773"/>
      <c r="O137" s="774"/>
      <c r="P137" s="774"/>
      <c r="Q137" s="774"/>
    </row>
    <row r="138" spans="1:17">
      <c r="A138" s="776"/>
      <c r="B138" s="768"/>
      <c r="C138" s="768" t="s">
        <v>1005</v>
      </c>
      <c r="D138" s="769"/>
      <c r="E138" s="770"/>
      <c r="F138" s="770"/>
      <c r="G138" s="770"/>
      <c r="H138" s="771"/>
      <c r="I138" s="772"/>
      <c r="J138" s="772"/>
      <c r="K138" s="772"/>
      <c r="L138" s="772"/>
      <c r="M138" s="772"/>
      <c r="N138" s="773"/>
      <c r="O138" s="774"/>
      <c r="P138" s="774"/>
      <c r="Q138" s="774"/>
    </row>
    <row r="139" spans="1:17">
      <c r="A139" s="776"/>
      <c r="B139" s="768"/>
      <c r="C139" s="768" t="s">
        <v>1005</v>
      </c>
      <c r="D139" s="769"/>
      <c r="E139" s="770"/>
      <c r="F139" s="770"/>
      <c r="G139" s="770"/>
      <c r="H139" s="771"/>
      <c r="I139" s="772"/>
      <c r="J139" s="772"/>
      <c r="K139" s="772"/>
      <c r="L139" s="772"/>
      <c r="M139" s="772"/>
      <c r="N139" s="773"/>
      <c r="O139" s="774"/>
      <c r="P139" s="774"/>
      <c r="Q139" s="774"/>
    </row>
    <row r="140" spans="1:17">
      <c r="A140" s="776"/>
      <c r="B140" s="768"/>
      <c r="C140" s="768" t="s">
        <v>1005</v>
      </c>
      <c r="D140" s="769"/>
      <c r="E140" s="770"/>
      <c r="F140" s="770"/>
      <c r="G140" s="770"/>
      <c r="H140" s="771"/>
      <c r="I140" s="772"/>
      <c r="J140" s="772"/>
      <c r="K140" s="772"/>
      <c r="L140" s="772"/>
      <c r="M140" s="772"/>
      <c r="N140" s="773"/>
      <c r="O140" s="774"/>
      <c r="P140" s="774"/>
      <c r="Q140" s="774"/>
    </row>
    <row r="141" spans="1:17">
      <c r="A141" s="776"/>
      <c r="B141" s="768"/>
      <c r="C141" s="768" t="s">
        <v>1005</v>
      </c>
      <c r="D141" s="769"/>
      <c r="E141" s="770"/>
      <c r="F141" s="770"/>
      <c r="G141" s="770"/>
      <c r="H141" s="771"/>
      <c r="I141" s="772"/>
      <c r="J141" s="772"/>
      <c r="K141" s="772"/>
      <c r="L141" s="772"/>
      <c r="M141" s="772"/>
      <c r="N141" s="773"/>
      <c r="O141" s="774"/>
      <c r="P141" s="774"/>
      <c r="Q141" s="774"/>
    </row>
    <row r="142" spans="1:17">
      <c r="A142" s="776"/>
      <c r="B142" s="768"/>
      <c r="C142" s="768" t="s">
        <v>1005</v>
      </c>
      <c r="D142" s="769"/>
      <c r="E142" s="770"/>
      <c r="F142" s="770"/>
      <c r="G142" s="770"/>
      <c r="H142" s="771"/>
      <c r="I142" s="772"/>
      <c r="J142" s="772"/>
      <c r="K142" s="772"/>
      <c r="L142" s="772"/>
      <c r="M142" s="772"/>
      <c r="N142" s="773"/>
      <c r="O142" s="774"/>
      <c r="P142" s="774"/>
      <c r="Q142" s="774"/>
    </row>
    <row r="143" spans="1:17">
      <c r="A143" s="776"/>
      <c r="B143" s="768"/>
      <c r="C143" s="768" t="s">
        <v>1005</v>
      </c>
      <c r="D143" s="769"/>
      <c r="E143" s="770"/>
      <c r="F143" s="770"/>
      <c r="G143" s="770"/>
      <c r="H143" s="771"/>
      <c r="I143" s="772"/>
      <c r="J143" s="772"/>
      <c r="K143" s="772"/>
      <c r="L143" s="772"/>
      <c r="M143" s="772"/>
      <c r="N143" s="773"/>
      <c r="O143" s="774"/>
      <c r="P143" s="774"/>
      <c r="Q143" s="774"/>
    </row>
    <row r="144" spans="1:17">
      <c r="A144" s="776"/>
      <c r="B144" s="768"/>
      <c r="C144" s="768" t="s">
        <v>1005</v>
      </c>
      <c r="D144" s="769"/>
      <c r="E144" s="770"/>
      <c r="F144" s="770"/>
      <c r="G144" s="770"/>
      <c r="H144" s="771"/>
      <c r="I144" s="772"/>
      <c r="J144" s="772"/>
      <c r="K144" s="772"/>
      <c r="L144" s="772"/>
      <c r="M144" s="772"/>
      <c r="N144" s="773"/>
      <c r="O144" s="774"/>
      <c r="P144" s="774"/>
      <c r="Q144" s="774"/>
    </row>
    <row r="145" spans="1:17">
      <c r="A145" s="776"/>
      <c r="B145" s="768"/>
      <c r="C145" s="768" t="s">
        <v>1005</v>
      </c>
      <c r="D145" s="769"/>
      <c r="E145" s="770"/>
      <c r="F145" s="770"/>
      <c r="G145" s="770"/>
      <c r="H145" s="771"/>
      <c r="I145" s="772"/>
      <c r="J145" s="772"/>
      <c r="K145" s="772"/>
      <c r="L145" s="772"/>
      <c r="M145" s="772"/>
      <c r="N145" s="773"/>
      <c r="O145" s="774"/>
      <c r="P145" s="774"/>
      <c r="Q145" s="774"/>
    </row>
    <row r="146" spans="1:17">
      <c r="A146" s="776"/>
      <c r="B146" s="768"/>
      <c r="C146" s="768" t="s">
        <v>1005</v>
      </c>
      <c r="D146" s="769"/>
      <c r="E146" s="770"/>
      <c r="F146" s="770"/>
      <c r="G146" s="770"/>
      <c r="H146" s="771"/>
      <c r="I146" s="772"/>
      <c r="J146" s="772"/>
      <c r="K146" s="772"/>
      <c r="L146" s="772"/>
      <c r="M146" s="772"/>
      <c r="N146" s="773"/>
      <c r="O146" s="774"/>
      <c r="P146" s="774"/>
      <c r="Q146" s="774"/>
    </row>
    <row r="147" spans="1:17">
      <c r="A147" s="776"/>
      <c r="B147" s="768"/>
      <c r="C147" s="768" t="s">
        <v>1005</v>
      </c>
      <c r="D147" s="769"/>
      <c r="E147" s="770"/>
      <c r="F147" s="770"/>
      <c r="G147" s="770"/>
      <c r="H147" s="771"/>
      <c r="I147" s="772"/>
      <c r="J147" s="772"/>
      <c r="K147" s="772"/>
      <c r="L147" s="772"/>
      <c r="M147" s="772"/>
      <c r="N147" s="773"/>
      <c r="O147" s="774"/>
      <c r="P147" s="774"/>
      <c r="Q147" s="774"/>
    </row>
    <row r="148" spans="1:17">
      <c r="A148" s="776"/>
      <c r="B148" s="768"/>
      <c r="C148" s="768" t="s">
        <v>1005</v>
      </c>
      <c r="D148" s="769"/>
      <c r="E148" s="770"/>
      <c r="F148" s="770"/>
      <c r="G148" s="770"/>
      <c r="H148" s="771"/>
      <c r="I148" s="772"/>
      <c r="J148" s="772"/>
      <c r="K148" s="772"/>
      <c r="L148" s="772"/>
      <c r="M148" s="772"/>
      <c r="N148" s="773"/>
      <c r="O148" s="774"/>
      <c r="P148" s="774"/>
      <c r="Q148" s="774"/>
    </row>
    <row r="149" spans="1:17">
      <c r="A149" s="776"/>
      <c r="B149" s="768"/>
      <c r="C149" s="768" t="s">
        <v>1005</v>
      </c>
      <c r="D149" s="769"/>
      <c r="E149" s="770"/>
      <c r="F149" s="770"/>
      <c r="G149" s="770"/>
      <c r="H149" s="771"/>
      <c r="I149" s="772"/>
      <c r="J149" s="772"/>
      <c r="K149" s="772"/>
      <c r="L149" s="772"/>
      <c r="M149" s="772"/>
      <c r="N149" s="773"/>
      <c r="O149" s="774"/>
      <c r="P149" s="774"/>
      <c r="Q149" s="774"/>
    </row>
    <row r="150" spans="1:17">
      <c r="A150" s="776"/>
      <c r="B150" s="768"/>
      <c r="C150" s="768" t="s">
        <v>1005</v>
      </c>
      <c r="D150" s="769"/>
      <c r="E150" s="770"/>
      <c r="F150" s="770"/>
      <c r="G150" s="770"/>
      <c r="H150" s="771"/>
      <c r="I150" s="772"/>
      <c r="J150" s="772"/>
      <c r="K150" s="772"/>
      <c r="L150" s="772"/>
      <c r="M150" s="772"/>
      <c r="N150" s="773"/>
      <c r="O150" s="774"/>
      <c r="P150" s="774"/>
      <c r="Q150" s="774"/>
    </row>
    <row r="151" spans="1:17">
      <c r="A151" s="776"/>
      <c r="B151" s="768"/>
      <c r="C151" s="768" t="s">
        <v>1005</v>
      </c>
      <c r="D151" s="769"/>
      <c r="E151" s="770"/>
      <c r="F151" s="770"/>
      <c r="G151" s="770"/>
      <c r="H151" s="771"/>
      <c r="I151" s="772"/>
      <c r="J151" s="772"/>
      <c r="K151" s="772"/>
      <c r="L151" s="772"/>
      <c r="M151" s="772"/>
      <c r="N151" s="773"/>
      <c r="O151" s="774"/>
      <c r="P151" s="774"/>
      <c r="Q151" s="774"/>
    </row>
    <row r="152" spans="1:17">
      <c r="A152" s="776"/>
      <c r="B152" s="768"/>
      <c r="C152" s="768" t="s">
        <v>1005</v>
      </c>
      <c r="D152" s="769"/>
      <c r="E152" s="770"/>
      <c r="F152" s="770"/>
      <c r="G152" s="770"/>
      <c r="H152" s="771"/>
      <c r="I152" s="772"/>
      <c r="J152" s="772"/>
      <c r="K152" s="772"/>
      <c r="L152" s="772"/>
      <c r="M152" s="772"/>
      <c r="N152" s="773"/>
      <c r="O152" s="774"/>
      <c r="P152" s="774"/>
      <c r="Q152" s="774"/>
    </row>
    <row r="153" spans="1:17">
      <c r="A153" s="776"/>
      <c r="B153" s="768"/>
      <c r="C153" s="768" t="s">
        <v>1005</v>
      </c>
      <c r="D153" s="769"/>
      <c r="E153" s="770"/>
      <c r="F153" s="770"/>
      <c r="G153" s="770"/>
      <c r="H153" s="771"/>
      <c r="I153" s="772"/>
      <c r="J153" s="772"/>
      <c r="K153" s="772"/>
      <c r="L153" s="772"/>
      <c r="M153" s="772"/>
      <c r="N153" s="773"/>
      <c r="O153" s="774"/>
      <c r="P153" s="774"/>
      <c r="Q153" s="774"/>
    </row>
    <row r="154" spans="1:17">
      <c r="A154" s="776"/>
      <c r="B154" s="768"/>
      <c r="C154" s="768" t="s">
        <v>1005</v>
      </c>
      <c r="D154" s="769"/>
      <c r="E154" s="770"/>
      <c r="F154" s="770"/>
      <c r="G154" s="770"/>
      <c r="H154" s="771"/>
      <c r="I154" s="772"/>
      <c r="J154" s="772"/>
      <c r="K154" s="772"/>
      <c r="L154" s="772"/>
      <c r="M154" s="772"/>
      <c r="N154" s="773"/>
      <c r="O154" s="774"/>
      <c r="P154" s="774"/>
      <c r="Q154" s="774"/>
    </row>
    <row r="155" spans="1:17">
      <c r="A155" s="776"/>
      <c r="B155" s="768"/>
      <c r="C155" s="768" t="s">
        <v>1005</v>
      </c>
      <c r="D155" s="769"/>
      <c r="E155" s="770"/>
      <c r="F155" s="770"/>
      <c r="G155" s="770"/>
      <c r="H155" s="771"/>
      <c r="I155" s="772"/>
      <c r="J155" s="772"/>
      <c r="K155" s="772"/>
      <c r="L155" s="772"/>
      <c r="M155" s="772"/>
      <c r="N155" s="773"/>
      <c r="O155" s="774"/>
      <c r="P155" s="774"/>
      <c r="Q155" s="774"/>
    </row>
    <row r="156" spans="1:17">
      <c r="A156" s="776"/>
      <c r="B156" s="768"/>
      <c r="C156" s="768" t="s">
        <v>1005</v>
      </c>
      <c r="D156" s="769"/>
      <c r="E156" s="770"/>
      <c r="F156" s="770"/>
      <c r="G156" s="770"/>
      <c r="H156" s="771"/>
      <c r="I156" s="772"/>
      <c r="J156" s="772"/>
      <c r="K156" s="772"/>
      <c r="L156" s="772"/>
      <c r="M156" s="772"/>
      <c r="N156" s="773"/>
      <c r="O156" s="774"/>
      <c r="P156" s="774"/>
      <c r="Q156" s="774"/>
    </row>
    <row r="157" spans="1:17">
      <c r="A157" s="776"/>
      <c r="B157" s="768"/>
      <c r="C157" s="768" t="s">
        <v>1005</v>
      </c>
      <c r="D157" s="769"/>
      <c r="E157" s="770"/>
      <c r="F157" s="770"/>
      <c r="G157" s="770"/>
      <c r="H157" s="771"/>
      <c r="I157" s="772"/>
      <c r="J157" s="772"/>
      <c r="K157" s="772"/>
      <c r="L157" s="772"/>
      <c r="M157" s="772"/>
      <c r="N157" s="773"/>
      <c r="O157" s="774"/>
      <c r="P157" s="774"/>
      <c r="Q157" s="774"/>
    </row>
    <row r="158" spans="1:17">
      <c r="A158" s="776"/>
      <c r="B158" s="768"/>
      <c r="C158" s="768" t="s">
        <v>1005</v>
      </c>
      <c r="D158" s="769"/>
      <c r="E158" s="770"/>
      <c r="F158" s="770"/>
      <c r="G158" s="778"/>
      <c r="H158" s="771"/>
      <c r="I158" s="772"/>
      <c r="J158" s="772"/>
      <c r="K158" s="772"/>
      <c r="L158" s="772"/>
      <c r="M158" s="772"/>
      <c r="N158" s="773"/>
      <c r="O158" s="774"/>
      <c r="P158" s="774"/>
      <c r="Q158" s="774"/>
    </row>
    <row r="159" spans="1:17">
      <c r="A159" s="776"/>
      <c r="B159" s="768"/>
      <c r="C159" s="768" t="s">
        <v>1005</v>
      </c>
      <c r="D159" s="769"/>
      <c r="E159" s="770"/>
      <c r="F159" s="770"/>
      <c r="G159" s="778"/>
      <c r="H159" s="771"/>
      <c r="I159" s="772"/>
      <c r="J159" s="772"/>
      <c r="K159" s="772"/>
      <c r="L159" s="772"/>
      <c r="M159" s="772"/>
      <c r="N159" s="773"/>
      <c r="O159" s="774"/>
      <c r="P159" s="774"/>
      <c r="Q159" s="774"/>
    </row>
    <row r="160" spans="1:17" ht="36">
      <c r="A160" s="776"/>
      <c r="B160" s="768"/>
      <c r="C160" s="768" t="s">
        <v>1005</v>
      </c>
      <c r="D160" s="769"/>
      <c r="E160" s="770"/>
      <c r="F160" s="770"/>
      <c r="G160" s="779" t="s">
        <v>1006</v>
      </c>
      <c r="H160" s="771"/>
      <c r="I160" s="772"/>
      <c r="J160" s="772"/>
      <c r="K160" s="772"/>
      <c r="L160" s="772"/>
      <c r="M160" s="772"/>
      <c r="N160" s="773"/>
      <c r="O160" s="774"/>
      <c r="P160" s="774"/>
      <c r="Q160" s="774">
        <v>0</v>
      </c>
    </row>
    <row r="161" spans="1:17">
      <c r="A161" s="776"/>
      <c r="B161" s="768"/>
      <c r="C161" s="768" t="s">
        <v>1005</v>
      </c>
      <c r="D161" s="769"/>
      <c r="E161" s="770"/>
      <c r="F161" s="770"/>
      <c r="G161" s="779" t="s">
        <v>441</v>
      </c>
      <c r="H161" s="771"/>
      <c r="I161" s="772"/>
      <c r="J161" s="772"/>
      <c r="K161" s="772"/>
      <c r="L161" s="772"/>
      <c r="M161" s="772"/>
      <c r="N161" s="773"/>
      <c r="O161" s="774"/>
      <c r="P161" s="774"/>
      <c r="Q161" s="774">
        <v>0</v>
      </c>
    </row>
    <row r="162" spans="1:17" ht="36">
      <c r="A162" s="776"/>
      <c r="B162" s="768"/>
      <c r="C162" s="768" t="s">
        <v>1005</v>
      </c>
      <c r="D162" s="769"/>
      <c r="E162" s="770"/>
      <c r="F162" s="770"/>
      <c r="G162" s="779" t="s">
        <v>502</v>
      </c>
      <c r="H162" s="771"/>
      <c r="I162" s="772"/>
      <c r="J162" s="772"/>
      <c r="K162" s="772"/>
      <c r="L162" s="772"/>
      <c r="M162" s="772"/>
      <c r="N162" s="773"/>
      <c r="O162" s="774"/>
      <c r="P162" s="774"/>
      <c r="Q162" s="774">
        <v>0</v>
      </c>
    </row>
    <row r="163" spans="1:17" ht="36">
      <c r="A163" s="776"/>
      <c r="B163" s="768"/>
      <c r="C163" s="768" t="s">
        <v>1005</v>
      </c>
      <c r="D163" s="769"/>
      <c r="E163" s="770"/>
      <c r="F163" s="770"/>
      <c r="G163" s="779" t="s">
        <v>521</v>
      </c>
      <c r="H163" s="771"/>
      <c r="I163" s="772"/>
      <c r="J163" s="772"/>
      <c r="K163" s="772"/>
      <c r="L163" s="772"/>
      <c r="M163" s="772"/>
      <c r="N163" s="773"/>
      <c r="O163" s="774"/>
      <c r="P163" s="774"/>
      <c r="Q163" s="774">
        <v>0</v>
      </c>
    </row>
    <row r="164" spans="1:17">
      <c r="A164" s="776"/>
      <c r="B164" s="768"/>
      <c r="C164" s="768" t="s">
        <v>1005</v>
      </c>
      <c r="D164" s="769"/>
      <c r="E164" s="770"/>
      <c r="F164" s="770"/>
      <c r="G164" s="779" t="s">
        <v>451</v>
      </c>
      <c r="H164" s="771"/>
      <c r="I164" s="772"/>
      <c r="J164" s="772"/>
      <c r="K164" s="772"/>
      <c r="L164" s="772"/>
      <c r="M164" s="772"/>
      <c r="N164" s="773"/>
      <c r="O164" s="774"/>
      <c r="P164" s="774"/>
      <c r="Q164" s="774">
        <v>0</v>
      </c>
    </row>
    <row r="165" spans="1:17">
      <c r="A165" s="776"/>
      <c r="B165" s="768"/>
      <c r="C165" s="768" t="s">
        <v>1005</v>
      </c>
      <c r="D165" s="769"/>
      <c r="E165" s="770"/>
      <c r="F165" s="770"/>
      <c r="G165" s="779" t="s">
        <v>377</v>
      </c>
      <c r="H165" s="771"/>
      <c r="I165" s="772"/>
      <c r="J165" s="772"/>
      <c r="K165" s="772"/>
      <c r="L165" s="772"/>
      <c r="M165" s="772"/>
      <c r="N165" s="773"/>
      <c r="O165" s="774"/>
      <c r="P165" s="774"/>
      <c r="Q165" s="774">
        <v>0</v>
      </c>
    </row>
    <row r="166" spans="1:17" ht="36">
      <c r="A166" s="776"/>
      <c r="B166" s="768"/>
      <c r="C166" s="768" t="s">
        <v>1005</v>
      </c>
      <c r="D166" s="769"/>
      <c r="E166" s="770"/>
      <c r="F166" s="770"/>
      <c r="G166" s="779" t="s">
        <v>423</v>
      </c>
      <c r="H166" s="771"/>
      <c r="I166" s="772"/>
      <c r="J166" s="772"/>
      <c r="K166" s="772"/>
      <c r="L166" s="772"/>
      <c r="M166" s="772"/>
      <c r="N166" s="773"/>
      <c r="O166" s="774"/>
      <c r="P166" s="774"/>
      <c r="Q166" s="774">
        <v>0</v>
      </c>
    </row>
    <row r="167" spans="1:17">
      <c r="A167" s="776"/>
      <c r="B167" s="768"/>
      <c r="C167" s="768" t="s">
        <v>1005</v>
      </c>
      <c r="D167" s="769"/>
      <c r="E167" s="770"/>
      <c r="F167" s="770"/>
      <c r="G167" s="779" t="s">
        <v>397</v>
      </c>
      <c r="H167" s="771"/>
      <c r="I167" s="772"/>
      <c r="J167" s="772"/>
      <c r="K167" s="772"/>
      <c r="L167" s="772"/>
      <c r="M167" s="772"/>
      <c r="N167" s="773"/>
      <c r="O167" s="774"/>
      <c r="P167" s="774"/>
      <c r="Q167" s="774">
        <v>0</v>
      </c>
    </row>
    <row r="168" spans="1:17">
      <c r="A168" s="776"/>
      <c r="B168" s="768"/>
      <c r="C168" s="768" t="s">
        <v>1005</v>
      </c>
      <c r="D168" s="769"/>
      <c r="E168" s="770"/>
      <c r="F168" s="770"/>
      <c r="G168" s="779" t="s">
        <v>1007</v>
      </c>
      <c r="H168" s="771"/>
      <c r="I168" s="772"/>
      <c r="J168" s="772"/>
      <c r="K168" s="772"/>
      <c r="L168" s="772"/>
      <c r="M168" s="772"/>
      <c r="N168" s="773"/>
      <c r="O168" s="774"/>
      <c r="P168" s="774"/>
      <c r="Q168" s="774">
        <v>0</v>
      </c>
    </row>
    <row r="169" spans="1:17" ht="36">
      <c r="A169" s="776"/>
      <c r="B169" s="768"/>
      <c r="C169" s="768" t="s">
        <v>1005</v>
      </c>
      <c r="D169" s="769"/>
      <c r="E169" s="770"/>
      <c r="F169" s="770"/>
      <c r="G169" s="779" t="s">
        <v>794</v>
      </c>
      <c r="H169" s="771"/>
      <c r="I169" s="772"/>
      <c r="J169" s="772"/>
      <c r="K169" s="772"/>
      <c r="L169" s="772"/>
      <c r="M169" s="772"/>
      <c r="N169" s="773"/>
      <c r="O169" s="774"/>
      <c r="P169" s="774"/>
      <c r="Q169" s="774">
        <v>0</v>
      </c>
    </row>
    <row r="170" spans="1:17">
      <c r="A170" s="776"/>
      <c r="B170" s="768"/>
      <c r="C170" s="768" t="s">
        <v>1005</v>
      </c>
      <c r="D170" s="769"/>
      <c r="E170" s="770"/>
      <c r="F170" s="770"/>
      <c r="G170" s="779" t="s">
        <v>318</v>
      </c>
      <c r="H170" s="771"/>
      <c r="I170" s="772"/>
      <c r="J170" s="772"/>
      <c r="K170" s="772"/>
      <c r="L170" s="772"/>
      <c r="M170" s="772"/>
      <c r="N170" s="773"/>
      <c r="O170" s="774"/>
      <c r="P170" s="774"/>
      <c r="Q170" s="774">
        <v>0</v>
      </c>
    </row>
    <row r="171" spans="1:17">
      <c r="A171" s="776"/>
      <c r="B171" s="768"/>
      <c r="C171" s="768" t="s">
        <v>1005</v>
      </c>
      <c r="D171" s="769"/>
      <c r="E171" s="770"/>
      <c r="F171" s="770"/>
      <c r="G171" s="779" t="s">
        <v>390</v>
      </c>
      <c r="H171" s="771"/>
      <c r="I171" s="772"/>
      <c r="J171" s="772"/>
      <c r="K171" s="772"/>
      <c r="L171" s="772"/>
      <c r="M171" s="772"/>
      <c r="N171" s="773"/>
      <c r="O171" s="774"/>
      <c r="P171" s="774"/>
      <c r="Q171" s="774">
        <v>0</v>
      </c>
    </row>
    <row r="172" spans="1:17">
      <c r="A172" s="776"/>
      <c r="B172" s="768"/>
      <c r="C172" s="768" t="s">
        <v>1005</v>
      </c>
      <c r="D172" s="769"/>
      <c r="E172" s="770"/>
      <c r="F172" s="770"/>
      <c r="G172" s="779" t="s">
        <v>469</v>
      </c>
      <c r="H172" s="771"/>
      <c r="I172" s="772"/>
      <c r="J172" s="772"/>
      <c r="K172" s="772"/>
      <c r="L172" s="772"/>
      <c r="M172" s="772"/>
      <c r="N172" s="773"/>
      <c r="O172" s="774"/>
      <c r="P172" s="774"/>
      <c r="Q172" s="774">
        <v>0</v>
      </c>
    </row>
    <row r="173" spans="1:17">
      <c r="A173" s="776"/>
      <c r="B173" s="768"/>
      <c r="C173" s="768" t="s">
        <v>1005</v>
      </c>
      <c r="D173" s="769"/>
      <c r="E173" s="770"/>
      <c r="F173" s="770"/>
      <c r="G173" s="779" t="s">
        <v>1008</v>
      </c>
      <c r="H173" s="771"/>
      <c r="I173" s="772"/>
      <c r="J173" s="772"/>
      <c r="K173" s="772"/>
      <c r="L173" s="772"/>
      <c r="M173" s="772"/>
      <c r="N173" s="773"/>
      <c r="O173" s="774"/>
      <c r="P173" s="774"/>
      <c r="Q173" s="774">
        <v>0</v>
      </c>
    </row>
    <row r="174" spans="1:17">
      <c r="A174" s="776"/>
      <c r="B174" s="768"/>
      <c r="C174" s="768" t="s">
        <v>1005</v>
      </c>
      <c r="D174" s="769"/>
      <c r="E174" s="770"/>
      <c r="F174" s="770"/>
      <c r="G174" s="779" t="s">
        <v>1009</v>
      </c>
      <c r="H174" s="771"/>
      <c r="I174" s="772"/>
      <c r="J174" s="772"/>
      <c r="K174" s="772"/>
      <c r="L174" s="772"/>
      <c r="M174" s="772"/>
      <c r="N174" s="773"/>
      <c r="O174" s="774"/>
      <c r="P174" s="774"/>
      <c r="Q174" s="774">
        <v>0</v>
      </c>
    </row>
    <row r="175" spans="1:17">
      <c r="A175" s="776"/>
      <c r="B175" s="768"/>
      <c r="C175" s="768" t="s">
        <v>1005</v>
      </c>
      <c r="D175" s="769"/>
      <c r="E175" s="770"/>
      <c r="F175" s="770"/>
      <c r="G175" s="779" t="s">
        <v>335</v>
      </c>
      <c r="H175" s="771"/>
      <c r="I175" s="772"/>
      <c r="J175" s="772"/>
      <c r="K175" s="772"/>
      <c r="L175" s="772"/>
      <c r="M175" s="772"/>
      <c r="N175" s="773"/>
      <c r="O175" s="774"/>
      <c r="P175" s="774"/>
      <c r="Q175" s="774">
        <v>0</v>
      </c>
    </row>
    <row r="176" spans="1:17" ht="36">
      <c r="A176" s="776"/>
      <c r="B176" s="768"/>
      <c r="C176" s="768" t="s">
        <v>1005</v>
      </c>
      <c r="D176" s="769"/>
      <c r="E176" s="770"/>
      <c r="F176" s="770"/>
      <c r="G176" s="779" t="s">
        <v>808</v>
      </c>
      <c r="H176" s="771"/>
      <c r="I176" s="772"/>
      <c r="J176" s="772"/>
      <c r="K176" s="772"/>
      <c r="L176" s="772"/>
      <c r="M176" s="772"/>
      <c r="N176" s="773"/>
      <c r="O176" s="774"/>
      <c r="P176" s="774"/>
      <c r="Q176" s="774">
        <v>0</v>
      </c>
    </row>
    <row r="177" spans="1:17">
      <c r="A177" s="776"/>
      <c r="B177" s="768"/>
      <c r="C177" s="768" t="s">
        <v>1005</v>
      </c>
      <c r="D177" s="769"/>
      <c r="E177" s="770"/>
      <c r="F177" s="770"/>
      <c r="G177" s="778"/>
      <c r="H177" s="771"/>
      <c r="I177" s="772"/>
      <c r="J177" s="772"/>
      <c r="K177" s="772"/>
      <c r="L177" s="772"/>
      <c r="M177" s="772"/>
      <c r="N177" s="773"/>
      <c r="O177" s="774"/>
      <c r="P177" s="774"/>
      <c r="Q177" s="774"/>
    </row>
    <row r="178" spans="1:17">
      <c r="A178" s="776"/>
      <c r="B178" s="768"/>
      <c r="C178" s="768" t="s">
        <v>1005</v>
      </c>
      <c r="D178" s="769"/>
      <c r="E178" s="770"/>
      <c r="F178" s="770"/>
      <c r="G178" s="778"/>
      <c r="H178" s="771"/>
      <c r="I178" s="772"/>
      <c r="J178" s="772"/>
      <c r="K178" s="772"/>
      <c r="L178" s="772"/>
      <c r="M178" s="772"/>
      <c r="N178" s="773"/>
      <c r="O178" s="774"/>
      <c r="P178" s="774"/>
      <c r="Q178" s="774"/>
    </row>
    <row r="179" spans="1:17">
      <c r="A179" s="776"/>
      <c r="B179" s="768"/>
      <c r="C179" s="768" t="s">
        <v>1005</v>
      </c>
      <c r="D179" s="769"/>
      <c r="E179" s="770"/>
      <c r="F179" s="770"/>
      <c r="G179" s="778"/>
      <c r="H179" s="771"/>
      <c r="I179" s="772"/>
      <c r="J179" s="772"/>
      <c r="K179" s="772"/>
      <c r="L179" s="772"/>
      <c r="M179" s="772"/>
      <c r="N179" s="773"/>
      <c r="O179" s="774"/>
      <c r="P179" s="774"/>
      <c r="Q179" s="774"/>
    </row>
    <row r="180" spans="1:17">
      <c r="A180" s="776"/>
      <c r="B180" s="768"/>
      <c r="C180" s="768" t="s">
        <v>1005</v>
      </c>
      <c r="D180" s="769"/>
      <c r="E180" s="770"/>
      <c r="F180" s="770"/>
      <c r="G180" s="778"/>
      <c r="H180" s="771"/>
      <c r="I180" s="772"/>
      <c r="J180" s="772"/>
      <c r="K180" s="772"/>
      <c r="L180" s="772"/>
      <c r="M180" s="772"/>
      <c r="N180" s="773"/>
      <c r="O180" s="774"/>
      <c r="P180" s="774"/>
      <c r="Q180" s="774"/>
    </row>
    <row r="181" spans="1:17">
      <c r="A181" s="776"/>
      <c r="B181" s="768"/>
      <c r="C181" s="768" t="s">
        <v>1005</v>
      </c>
      <c r="D181" s="769"/>
      <c r="E181" s="770"/>
      <c r="F181" s="770"/>
      <c r="G181" s="778"/>
      <c r="H181" s="771"/>
      <c r="I181" s="772"/>
      <c r="J181" s="772"/>
      <c r="K181" s="772"/>
      <c r="L181" s="772"/>
      <c r="M181" s="772"/>
      <c r="N181" s="773"/>
      <c r="O181" s="774"/>
      <c r="P181" s="774"/>
      <c r="Q181" s="774"/>
    </row>
    <row r="182" spans="1:17">
      <c r="A182" s="776"/>
      <c r="B182" s="768"/>
      <c r="C182" s="768" t="s">
        <v>1005</v>
      </c>
      <c r="D182" s="769"/>
      <c r="E182" s="770"/>
      <c r="F182" s="770"/>
      <c r="G182" s="778"/>
      <c r="H182" s="771"/>
      <c r="I182" s="772"/>
      <c r="J182" s="772"/>
      <c r="K182" s="772"/>
      <c r="L182" s="772"/>
      <c r="M182" s="772"/>
      <c r="N182" s="773"/>
      <c r="O182" s="774"/>
      <c r="P182" s="774"/>
      <c r="Q182" s="774"/>
    </row>
    <row r="183" spans="1:17">
      <c r="A183" s="776"/>
      <c r="B183" s="768"/>
      <c r="C183" s="768" t="s">
        <v>1005</v>
      </c>
      <c r="D183" s="769"/>
      <c r="E183" s="770"/>
      <c r="F183" s="770"/>
      <c r="G183" s="770"/>
      <c r="H183" s="771"/>
      <c r="I183" s="772"/>
      <c r="J183" s="772"/>
      <c r="K183" s="772"/>
      <c r="L183" s="772"/>
      <c r="M183" s="772"/>
      <c r="N183" s="773"/>
      <c r="O183" s="774"/>
      <c r="P183" s="774"/>
      <c r="Q183" s="774"/>
    </row>
    <row r="184" spans="1:17">
      <c r="A184" s="776"/>
      <c r="B184" s="768"/>
      <c r="C184" s="768" t="s">
        <v>1005</v>
      </c>
      <c r="D184" s="769"/>
      <c r="E184" s="770"/>
      <c r="F184" s="770"/>
      <c r="G184" s="770"/>
      <c r="H184" s="771"/>
      <c r="I184" s="772"/>
      <c r="J184" s="772"/>
      <c r="K184" s="772"/>
      <c r="L184" s="772"/>
      <c r="M184" s="772"/>
      <c r="N184" s="773"/>
      <c r="O184" s="774"/>
      <c r="P184" s="774"/>
      <c r="Q184" s="774"/>
    </row>
    <row r="185" spans="1:17">
      <c r="A185" s="776"/>
      <c r="B185" s="768"/>
      <c r="C185" s="768" t="s">
        <v>1005</v>
      </c>
      <c r="D185" s="769"/>
      <c r="E185" s="770"/>
      <c r="F185" s="770"/>
      <c r="G185" s="770"/>
      <c r="H185" s="771"/>
      <c r="I185" s="772"/>
      <c r="J185" s="772"/>
      <c r="K185" s="772"/>
      <c r="L185" s="772"/>
      <c r="M185" s="772"/>
      <c r="N185" s="773"/>
      <c r="O185" s="774"/>
      <c r="P185" s="774"/>
      <c r="Q185" s="774"/>
    </row>
    <row r="186" spans="1:17">
      <c r="A186" s="776"/>
      <c r="B186" s="768"/>
      <c r="C186" s="768" t="s">
        <v>1005</v>
      </c>
      <c r="D186" s="769"/>
      <c r="E186" s="770"/>
      <c r="F186" s="770"/>
      <c r="G186" s="770"/>
      <c r="H186" s="771"/>
      <c r="I186" s="772"/>
      <c r="J186" s="772"/>
      <c r="K186" s="772"/>
      <c r="L186" s="772"/>
      <c r="M186" s="772"/>
      <c r="N186" s="773"/>
      <c r="O186" s="774"/>
      <c r="P186" s="774"/>
      <c r="Q186" s="774"/>
    </row>
    <row r="187" spans="1:17">
      <c r="A187" s="776"/>
      <c r="B187" s="768"/>
      <c r="C187" s="768" t="s">
        <v>1005</v>
      </c>
      <c r="D187" s="769"/>
      <c r="E187" s="770"/>
      <c r="F187" s="770"/>
      <c r="G187" s="770"/>
      <c r="H187" s="771"/>
      <c r="I187" s="772"/>
      <c r="J187" s="772"/>
      <c r="K187" s="772"/>
      <c r="L187" s="772"/>
      <c r="M187" s="772"/>
      <c r="N187" s="773"/>
      <c r="O187" s="774"/>
      <c r="P187" s="774"/>
      <c r="Q187" s="774"/>
    </row>
    <row r="188" spans="1:17">
      <c r="A188" s="776"/>
      <c r="B188" s="768"/>
      <c r="C188" s="768" t="s">
        <v>1005</v>
      </c>
      <c r="D188" s="769"/>
      <c r="E188" s="770"/>
      <c r="F188" s="770"/>
      <c r="G188" s="770"/>
      <c r="H188" s="771"/>
      <c r="I188" s="772"/>
      <c r="J188" s="772"/>
      <c r="K188" s="772"/>
      <c r="L188" s="772"/>
      <c r="M188" s="772"/>
      <c r="N188" s="773"/>
      <c r="O188" s="774"/>
      <c r="P188" s="774"/>
      <c r="Q188" s="774"/>
    </row>
    <row r="189" spans="1:17">
      <c r="A189" s="776"/>
      <c r="B189" s="768"/>
      <c r="C189" s="768" t="s">
        <v>1005</v>
      </c>
      <c r="D189" s="769"/>
      <c r="E189" s="770"/>
      <c r="F189" s="770"/>
      <c r="G189" s="770"/>
      <c r="H189" s="771"/>
      <c r="I189" s="772"/>
      <c r="J189" s="772"/>
      <c r="K189" s="772"/>
      <c r="L189" s="772"/>
      <c r="M189" s="772"/>
      <c r="N189" s="773"/>
      <c r="O189" s="774"/>
      <c r="P189" s="774"/>
      <c r="Q189" s="774"/>
    </row>
    <row r="190" spans="1:17">
      <c r="A190" s="776"/>
      <c r="B190" s="768"/>
      <c r="C190" s="768" t="s">
        <v>1005</v>
      </c>
      <c r="D190" s="769"/>
      <c r="E190" s="770"/>
      <c r="F190" s="770"/>
      <c r="G190" s="770"/>
      <c r="H190" s="771"/>
      <c r="I190" s="772"/>
      <c r="J190" s="772"/>
      <c r="K190" s="772"/>
      <c r="L190" s="772"/>
      <c r="M190" s="772"/>
      <c r="N190" s="773"/>
      <c r="O190" s="774"/>
      <c r="P190" s="774"/>
      <c r="Q190" s="774"/>
    </row>
    <row r="191" spans="1:17">
      <c r="A191" s="776"/>
      <c r="B191" s="768"/>
      <c r="C191" s="768" t="s">
        <v>1005</v>
      </c>
      <c r="D191" s="769"/>
      <c r="E191" s="770"/>
      <c r="F191" s="770"/>
      <c r="G191" s="770"/>
      <c r="H191" s="771"/>
      <c r="I191" s="772"/>
      <c r="J191" s="772"/>
      <c r="K191" s="772"/>
      <c r="L191" s="772"/>
      <c r="M191" s="772"/>
      <c r="N191" s="773"/>
      <c r="O191" s="774"/>
      <c r="P191" s="774"/>
      <c r="Q191" s="774"/>
    </row>
    <row r="192" spans="1:17">
      <c r="A192" s="776"/>
      <c r="B192" s="768"/>
      <c r="C192" s="768" t="s">
        <v>1005</v>
      </c>
      <c r="D192" s="769"/>
      <c r="E192" s="770"/>
      <c r="F192" s="770"/>
      <c r="G192" s="770"/>
      <c r="H192" s="771"/>
      <c r="I192" s="772"/>
      <c r="J192" s="772"/>
      <c r="K192" s="772"/>
      <c r="L192" s="772"/>
      <c r="M192" s="772"/>
      <c r="N192" s="773"/>
      <c r="O192" s="774"/>
      <c r="P192" s="774"/>
      <c r="Q192" s="774"/>
    </row>
    <row r="193" spans="1:17">
      <c r="A193" s="776"/>
      <c r="B193" s="768"/>
      <c r="C193" s="768" t="s">
        <v>1005</v>
      </c>
      <c r="D193" s="769"/>
      <c r="E193" s="770"/>
      <c r="F193" s="770"/>
      <c r="G193" s="770"/>
      <c r="H193" s="771"/>
      <c r="I193" s="772"/>
      <c r="J193" s="772"/>
      <c r="K193" s="772"/>
      <c r="L193" s="772"/>
      <c r="M193" s="772"/>
      <c r="N193" s="773"/>
      <c r="O193" s="774"/>
      <c r="P193" s="774"/>
      <c r="Q193" s="774"/>
    </row>
    <row r="194" spans="1:17">
      <c r="A194" s="776"/>
      <c r="B194" s="768"/>
      <c r="C194" s="768" t="s">
        <v>1005</v>
      </c>
      <c r="D194" s="769"/>
      <c r="E194" s="770"/>
      <c r="F194" s="770"/>
      <c r="G194" s="770"/>
      <c r="H194" s="771"/>
      <c r="I194" s="772"/>
      <c r="J194" s="772"/>
      <c r="K194" s="772"/>
      <c r="L194" s="772"/>
      <c r="M194" s="772"/>
      <c r="N194" s="773"/>
      <c r="O194" s="774"/>
      <c r="P194" s="774"/>
      <c r="Q194" s="774"/>
    </row>
    <row r="195" spans="1:17">
      <c r="A195" s="776"/>
      <c r="B195" s="768"/>
      <c r="C195" s="768" t="s">
        <v>1005</v>
      </c>
      <c r="D195" s="769"/>
      <c r="E195" s="770"/>
      <c r="F195" s="770"/>
      <c r="G195" s="770"/>
      <c r="H195" s="771"/>
      <c r="I195" s="772"/>
      <c r="J195" s="772"/>
      <c r="K195" s="772"/>
      <c r="L195" s="772"/>
      <c r="M195" s="772"/>
      <c r="N195" s="773"/>
      <c r="O195" s="774"/>
      <c r="P195" s="774"/>
      <c r="Q195" s="774"/>
    </row>
    <row r="196" spans="1:17">
      <c r="A196" s="776"/>
      <c r="B196" s="768"/>
      <c r="C196" s="768" t="s">
        <v>1005</v>
      </c>
      <c r="D196" s="769"/>
      <c r="E196" s="770"/>
      <c r="F196" s="770"/>
      <c r="G196" s="770"/>
      <c r="H196" s="771"/>
      <c r="I196" s="772"/>
      <c r="J196" s="772"/>
      <c r="K196" s="772"/>
      <c r="L196" s="772"/>
      <c r="M196" s="772"/>
      <c r="N196" s="773"/>
      <c r="O196" s="774"/>
      <c r="P196" s="774"/>
      <c r="Q196" s="774"/>
    </row>
    <row r="197" spans="1:17">
      <c r="A197" s="776"/>
      <c r="B197" s="768"/>
      <c r="C197" s="768" t="s">
        <v>1005</v>
      </c>
      <c r="D197" s="769"/>
      <c r="E197" s="770"/>
      <c r="F197" s="770"/>
      <c r="G197" s="770"/>
      <c r="H197" s="771"/>
      <c r="I197" s="772"/>
      <c r="J197" s="772"/>
      <c r="K197" s="772"/>
      <c r="L197" s="772"/>
      <c r="M197" s="772"/>
      <c r="N197" s="773"/>
      <c r="O197" s="774"/>
      <c r="P197" s="774"/>
      <c r="Q197" s="774"/>
    </row>
    <row r="198" spans="1:17">
      <c r="A198" s="776"/>
      <c r="B198" s="768"/>
      <c r="C198" s="768" t="s">
        <v>1005</v>
      </c>
      <c r="D198" s="769"/>
      <c r="E198" s="770"/>
      <c r="F198" s="770"/>
      <c r="G198" s="770"/>
      <c r="H198" s="771"/>
      <c r="I198" s="772"/>
      <c r="J198" s="772"/>
      <c r="K198" s="772"/>
      <c r="L198" s="772"/>
      <c r="M198" s="772"/>
      <c r="N198" s="773"/>
      <c r="O198" s="774"/>
      <c r="P198" s="774"/>
      <c r="Q198" s="774"/>
    </row>
    <row r="199" spans="1:17">
      <c r="A199" s="776"/>
      <c r="B199" s="768"/>
      <c r="C199" s="768" t="s">
        <v>1005</v>
      </c>
      <c r="D199" s="769"/>
      <c r="E199" s="770"/>
      <c r="F199" s="770"/>
      <c r="G199" s="770"/>
      <c r="H199" s="771"/>
      <c r="I199" s="772"/>
      <c r="J199" s="772"/>
      <c r="K199" s="772"/>
      <c r="L199" s="772"/>
      <c r="M199" s="772"/>
      <c r="N199" s="773"/>
      <c r="O199" s="774"/>
      <c r="P199" s="774"/>
      <c r="Q199" s="774"/>
    </row>
    <row r="200" spans="1:17">
      <c r="A200" s="776"/>
      <c r="B200" s="768"/>
      <c r="C200" s="768" t="s">
        <v>1005</v>
      </c>
      <c r="D200" s="769"/>
      <c r="E200" s="770"/>
      <c r="F200" s="770"/>
      <c r="G200" s="770"/>
      <c r="H200" s="771"/>
      <c r="I200" s="772"/>
      <c r="J200" s="772"/>
      <c r="K200" s="772"/>
      <c r="L200" s="772"/>
      <c r="M200" s="772"/>
      <c r="N200" s="773"/>
      <c r="O200" s="774"/>
      <c r="P200" s="774"/>
      <c r="Q200" s="774"/>
    </row>
    <row r="201" spans="1:17">
      <c r="A201" s="776"/>
      <c r="B201" s="768"/>
      <c r="C201" s="768" t="s">
        <v>1005</v>
      </c>
      <c r="D201" s="769"/>
      <c r="E201" s="770"/>
      <c r="F201" s="770"/>
      <c r="G201" s="770"/>
      <c r="H201" s="771"/>
      <c r="I201" s="772"/>
      <c r="J201" s="772"/>
      <c r="K201" s="772"/>
      <c r="L201" s="772"/>
      <c r="M201" s="772"/>
      <c r="N201" s="773"/>
      <c r="O201" s="774"/>
      <c r="P201" s="774"/>
      <c r="Q201" s="774"/>
    </row>
    <row r="202" spans="1:17">
      <c r="A202" s="776"/>
      <c r="B202" s="768"/>
      <c r="C202" s="768" t="s">
        <v>1005</v>
      </c>
      <c r="D202" s="769"/>
      <c r="E202" s="770"/>
      <c r="F202" s="770"/>
      <c r="G202" s="770"/>
      <c r="H202" s="771"/>
      <c r="I202" s="772"/>
      <c r="J202" s="772"/>
      <c r="K202" s="772"/>
      <c r="L202" s="772"/>
      <c r="M202" s="772"/>
      <c r="N202" s="773"/>
      <c r="O202" s="774"/>
      <c r="P202" s="774"/>
      <c r="Q202" s="774"/>
    </row>
    <row r="203" spans="1:17">
      <c r="A203" s="776"/>
      <c r="B203" s="768"/>
      <c r="C203" s="768" t="s">
        <v>1005</v>
      </c>
      <c r="D203" s="769"/>
      <c r="E203" s="770"/>
      <c r="F203" s="770"/>
      <c r="G203" s="770"/>
      <c r="H203" s="771"/>
      <c r="I203" s="772"/>
      <c r="J203" s="772"/>
      <c r="K203" s="772"/>
      <c r="L203" s="772"/>
      <c r="M203" s="772"/>
      <c r="N203" s="773"/>
      <c r="O203" s="774"/>
      <c r="P203" s="774"/>
      <c r="Q203" s="774"/>
    </row>
    <row r="204" spans="1:17">
      <c r="A204" s="776"/>
      <c r="B204" s="768"/>
      <c r="C204" s="768" t="s">
        <v>1005</v>
      </c>
      <c r="D204" s="769"/>
      <c r="E204" s="770"/>
      <c r="F204" s="770"/>
      <c r="G204" s="770"/>
      <c r="H204" s="771"/>
      <c r="I204" s="772"/>
      <c r="J204" s="772"/>
      <c r="K204" s="772"/>
      <c r="L204" s="772"/>
      <c r="M204" s="772"/>
      <c r="N204" s="773"/>
      <c r="O204" s="774"/>
      <c r="P204" s="774"/>
      <c r="Q204" s="774"/>
    </row>
    <row r="205" spans="1:17">
      <c r="A205" s="776"/>
      <c r="B205" s="768"/>
      <c r="C205" s="768" t="s">
        <v>1005</v>
      </c>
      <c r="D205" s="769"/>
      <c r="E205" s="770"/>
      <c r="F205" s="770"/>
      <c r="G205" s="770"/>
      <c r="H205" s="771"/>
      <c r="I205" s="772"/>
      <c r="J205" s="772"/>
      <c r="K205" s="772"/>
      <c r="L205" s="772"/>
      <c r="M205" s="772"/>
      <c r="N205" s="773"/>
      <c r="O205" s="774"/>
      <c r="P205" s="774"/>
      <c r="Q205" s="774"/>
    </row>
    <row r="206" spans="1:17">
      <c r="A206" s="776"/>
      <c r="B206" s="768"/>
      <c r="C206" s="768" t="s">
        <v>1005</v>
      </c>
      <c r="D206" s="769"/>
      <c r="E206" s="770"/>
      <c r="F206" s="770"/>
      <c r="G206" s="770"/>
      <c r="H206" s="771"/>
      <c r="I206" s="772"/>
      <c r="J206" s="772"/>
      <c r="K206" s="772"/>
      <c r="L206" s="772"/>
      <c r="M206" s="772"/>
      <c r="N206" s="773"/>
      <c r="O206" s="774"/>
      <c r="P206" s="774"/>
      <c r="Q206" s="774"/>
    </row>
    <row r="207" spans="1:17">
      <c r="A207" s="776"/>
      <c r="B207" s="768"/>
      <c r="C207" s="768" t="s">
        <v>1005</v>
      </c>
      <c r="D207" s="769"/>
      <c r="E207" s="770"/>
      <c r="F207" s="770"/>
      <c r="G207" s="770"/>
      <c r="H207" s="771"/>
      <c r="I207" s="772"/>
      <c r="J207" s="772"/>
      <c r="K207" s="772"/>
      <c r="L207" s="772"/>
      <c r="M207" s="772"/>
      <c r="N207" s="773"/>
      <c r="O207" s="774"/>
      <c r="P207" s="774"/>
      <c r="Q207" s="774"/>
    </row>
    <row r="208" spans="1:17">
      <c r="A208" s="776"/>
      <c r="B208" s="768"/>
      <c r="C208" s="768" t="s">
        <v>1005</v>
      </c>
      <c r="D208" s="769"/>
      <c r="E208" s="770"/>
      <c r="F208" s="770"/>
      <c r="G208" s="770"/>
      <c r="H208" s="771"/>
      <c r="I208" s="772"/>
      <c r="J208" s="772"/>
      <c r="K208" s="772"/>
      <c r="L208" s="772"/>
      <c r="M208" s="772"/>
      <c r="N208" s="773"/>
      <c r="O208" s="774"/>
      <c r="P208" s="774"/>
      <c r="Q208" s="774"/>
    </row>
    <row r="209" spans="1:17">
      <c r="A209" s="776"/>
      <c r="B209" s="768"/>
      <c r="C209" s="768" t="s">
        <v>1005</v>
      </c>
      <c r="D209" s="769"/>
      <c r="E209" s="770"/>
      <c r="F209" s="770"/>
      <c r="G209" s="770"/>
      <c r="H209" s="771"/>
      <c r="I209" s="772"/>
      <c r="J209" s="772"/>
      <c r="K209" s="772"/>
      <c r="L209" s="772"/>
      <c r="M209" s="772"/>
      <c r="N209" s="773"/>
      <c r="O209" s="774"/>
      <c r="P209" s="774"/>
      <c r="Q209" s="774"/>
    </row>
    <row r="210" spans="1:17">
      <c r="A210" s="776"/>
      <c r="B210" s="768"/>
      <c r="C210" s="768" t="s">
        <v>1005</v>
      </c>
      <c r="D210" s="769"/>
      <c r="E210" s="770"/>
      <c r="F210" s="770"/>
      <c r="G210" s="770"/>
      <c r="H210" s="771"/>
      <c r="I210" s="772"/>
      <c r="J210" s="772"/>
      <c r="K210" s="772"/>
      <c r="L210" s="772"/>
      <c r="M210" s="772"/>
      <c r="N210" s="773"/>
      <c r="O210" s="774"/>
      <c r="P210" s="774"/>
      <c r="Q210" s="774"/>
    </row>
    <row r="211" spans="1:17">
      <c r="A211" s="776"/>
      <c r="B211" s="768"/>
      <c r="C211" s="768" t="s">
        <v>1005</v>
      </c>
      <c r="D211" s="769"/>
      <c r="E211" s="770"/>
      <c r="F211" s="770"/>
      <c r="G211" s="770"/>
      <c r="H211" s="771"/>
      <c r="I211" s="772"/>
      <c r="J211" s="772"/>
      <c r="K211" s="772"/>
      <c r="L211" s="772"/>
      <c r="M211" s="772"/>
      <c r="N211" s="773"/>
      <c r="O211" s="774"/>
      <c r="P211" s="774"/>
      <c r="Q211" s="774"/>
    </row>
    <row r="212" spans="1:17" ht="18.75"/>
  </sheetData>
  <conditionalFormatting sqref="E1 E33:E36 E40:E42 E91 E3:E22">
    <cfRule type="cellIs" dxfId="96" priority="363" operator="between">
      <formula>61</formula>
      <formula>90</formula>
    </cfRule>
    <cfRule type="cellIs" dxfId="95" priority="364" operator="between">
      <formula>1</formula>
      <formula>60</formula>
    </cfRule>
  </conditionalFormatting>
  <conditionalFormatting sqref="E24 E86:E88">
    <cfRule type="cellIs" dxfId="94" priority="92" operator="between">
      <formula>91</formula>
      <formula>366</formula>
    </cfRule>
    <cfRule type="cellIs" dxfId="93" priority="93" operator="between">
      <formula>61</formula>
      <formula>90</formula>
    </cfRule>
    <cfRule type="cellIs" dxfId="92" priority="94" operator="between">
      <formula>1</formula>
      <formula>60</formula>
    </cfRule>
  </conditionalFormatting>
  <conditionalFormatting sqref="E26:E31">
    <cfRule type="cellIs" dxfId="91" priority="122" operator="between">
      <formula>91</formula>
      <formula>366</formula>
    </cfRule>
    <cfRule type="cellIs" dxfId="90" priority="123" operator="between">
      <formula>61</formula>
      <formula>90</formula>
    </cfRule>
    <cfRule type="cellIs" dxfId="89" priority="124" operator="between">
      <formula>1</formula>
      <formula>60</formula>
    </cfRule>
  </conditionalFormatting>
  <conditionalFormatting sqref="E27:E31 E91">
    <cfRule type="cellIs" dxfId="88" priority="118" operator="between">
      <formula>61</formula>
      <formula>90</formula>
    </cfRule>
    <cfRule type="cellIs" dxfId="87" priority="119" operator="between">
      <formula>1</formula>
      <formula>60</formula>
    </cfRule>
    <cfRule type="cellIs" dxfId="86" priority="120" operator="between">
      <formula>61</formula>
      <formula>90</formula>
    </cfRule>
    <cfRule type="cellIs" dxfId="85" priority="121" operator="between">
      <formula>1</formula>
      <formula>60</formula>
    </cfRule>
  </conditionalFormatting>
  <conditionalFormatting sqref="E33:E36 E40:E41 E91 E3:E22">
    <cfRule type="cellIs" dxfId="84" priority="351" operator="between">
      <formula>91</formula>
      <formula>366</formula>
    </cfRule>
  </conditionalFormatting>
  <conditionalFormatting sqref="E34:E35">
    <cfRule type="cellIs" dxfId="83" priority="131" operator="between">
      <formula>91</formula>
      <formula>366</formula>
    </cfRule>
    <cfRule type="cellIs" dxfId="82" priority="132" operator="between">
      <formula>61</formula>
      <formula>90</formula>
    </cfRule>
    <cfRule type="cellIs" dxfId="81" priority="133" operator="between">
      <formula>1</formula>
      <formula>60</formula>
    </cfRule>
    <cfRule type="cellIs" dxfId="80" priority="134" operator="between">
      <formula>61</formula>
      <formula>90</formula>
    </cfRule>
    <cfRule type="cellIs" dxfId="79" priority="135" operator="between">
      <formula>1</formula>
      <formula>60</formula>
    </cfRule>
  </conditionalFormatting>
  <conditionalFormatting sqref="E93:E94">
    <cfRule type="cellIs" dxfId="78" priority="21" operator="between">
      <formula>61</formula>
      <formula>90</formula>
    </cfRule>
    <cfRule type="cellIs" dxfId="77" priority="22" operator="between">
      <formula>1</formula>
      <formula>60</formula>
    </cfRule>
  </conditionalFormatting>
  <conditionalFormatting sqref="E42">
    <cfRule type="cellIs" dxfId="76" priority="20" operator="between">
      <formula>91</formula>
      <formula>366</formula>
    </cfRule>
  </conditionalFormatting>
  <conditionalFormatting sqref="E44:E45">
    <cfRule type="cellIs" dxfId="75" priority="26" operator="between">
      <formula>61</formula>
      <formula>90</formula>
    </cfRule>
    <cfRule type="cellIs" dxfId="74" priority="27" operator="between">
      <formula>1</formula>
      <formula>60</formula>
    </cfRule>
    <cfRule type="cellIs" dxfId="73" priority="28" operator="between">
      <formula>91</formula>
      <formula>366</formula>
    </cfRule>
  </conditionalFormatting>
  <conditionalFormatting sqref="E47">
    <cfRule type="cellIs" dxfId="72" priority="29" operator="between">
      <formula>61</formula>
      <formula>90</formula>
    </cfRule>
    <cfRule type="cellIs" dxfId="71" priority="30" operator="between">
      <formula>1</formula>
      <formula>60</formula>
    </cfRule>
    <cfRule type="cellIs" dxfId="70" priority="31" operator="between">
      <formula>91</formula>
      <formula>366</formula>
    </cfRule>
  </conditionalFormatting>
  <conditionalFormatting sqref="E49:E50">
    <cfRule type="cellIs" dxfId="69" priority="5" operator="between">
      <formula>61</formula>
      <formula>90</formula>
    </cfRule>
    <cfRule type="cellIs" dxfId="68" priority="6" operator="between">
      <formula>1</formula>
      <formula>60</formula>
    </cfRule>
    <cfRule type="cellIs" dxfId="67" priority="7" operator="between">
      <formula>91</formula>
      <formula>366</formula>
    </cfRule>
  </conditionalFormatting>
  <conditionalFormatting sqref="E52:E53">
    <cfRule type="cellIs" dxfId="66" priority="76" operator="between">
      <formula>91</formula>
      <formula>366</formula>
    </cfRule>
  </conditionalFormatting>
  <conditionalFormatting sqref="E52:E53">
    <cfRule type="cellIs" dxfId="65" priority="74" operator="between">
      <formula>61</formula>
      <formula>90</formula>
    </cfRule>
    <cfRule type="cellIs" dxfId="64" priority="75" operator="between">
      <formula>1</formula>
      <formula>60</formula>
    </cfRule>
  </conditionalFormatting>
  <conditionalFormatting sqref="E56">
    <cfRule type="cellIs" dxfId="63" priority="89" operator="between">
      <formula>91</formula>
      <formula>366</formula>
    </cfRule>
    <cfRule type="cellIs" dxfId="62" priority="90" operator="between">
      <formula>61</formula>
      <formula>90</formula>
    </cfRule>
    <cfRule type="cellIs" dxfId="61" priority="91" operator="between">
      <formula>1</formula>
      <formula>60</formula>
    </cfRule>
  </conditionalFormatting>
  <conditionalFormatting sqref="E58">
    <cfRule type="cellIs" dxfId="60" priority="315" operator="between">
      <formula>91</formula>
      <formula>366</formula>
    </cfRule>
    <cfRule type="cellIs" dxfId="59" priority="316" operator="between">
      <formula>61</formula>
      <formula>90</formula>
    </cfRule>
    <cfRule type="cellIs" dxfId="58" priority="317" operator="between">
      <formula>1</formula>
      <formula>60</formula>
    </cfRule>
  </conditionalFormatting>
  <conditionalFormatting sqref="E60:E61">
    <cfRule type="cellIs" dxfId="57" priority="46" operator="between">
      <formula>91</formula>
      <formula>366</formula>
    </cfRule>
  </conditionalFormatting>
  <conditionalFormatting sqref="E60:E62">
    <cfRule type="cellIs" dxfId="56" priority="47" operator="between">
      <formula>61</formula>
      <formula>90</formula>
    </cfRule>
    <cfRule type="cellIs" dxfId="55" priority="48" operator="between">
      <formula>1</formula>
      <formula>60</formula>
    </cfRule>
  </conditionalFormatting>
  <conditionalFormatting sqref="E62 E1">
    <cfRule type="cellIs" dxfId="54" priority="362" operator="between">
      <formula>91</formula>
      <formula>366</formula>
    </cfRule>
  </conditionalFormatting>
  <conditionalFormatting sqref="E66:E68">
    <cfRule type="cellIs" dxfId="53" priority="12" operator="between">
      <formula>91</formula>
      <formula>366</formula>
    </cfRule>
    <cfRule type="cellIs" dxfId="52" priority="13" operator="between">
      <formula>61</formula>
      <formula>90</formula>
    </cfRule>
    <cfRule type="cellIs" dxfId="51" priority="14" operator="between">
      <formula>1</formula>
      <formula>60</formula>
    </cfRule>
  </conditionalFormatting>
  <conditionalFormatting sqref="E70:E71">
    <cfRule type="cellIs" dxfId="50" priority="8" operator="between">
      <formula>91</formula>
      <formula>366</formula>
    </cfRule>
    <cfRule type="cellIs" dxfId="49" priority="9" operator="between">
      <formula>61</formula>
      <formula>90</formula>
    </cfRule>
    <cfRule type="cellIs" dxfId="48" priority="10" operator="between">
      <formula>1</formula>
      <formula>60</formula>
    </cfRule>
  </conditionalFormatting>
  <conditionalFormatting sqref="E73:E76">
    <cfRule type="cellIs" dxfId="47" priority="23" operator="between">
      <formula>91</formula>
      <formula>366</formula>
    </cfRule>
    <cfRule type="cellIs" dxfId="46" priority="24" operator="between">
      <formula>61</formula>
      <formula>90</formula>
    </cfRule>
    <cfRule type="cellIs" dxfId="45" priority="25" operator="between">
      <formula>1</formula>
      <formula>60</formula>
    </cfRule>
  </conditionalFormatting>
  <conditionalFormatting sqref="E78:E79">
    <cfRule type="cellIs" dxfId="44" priority="65" operator="between">
      <formula>91</formula>
      <formula>366</formula>
    </cfRule>
    <cfRule type="cellIs" dxfId="43" priority="66" operator="between">
      <formula>61</formula>
      <formula>90</formula>
    </cfRule>
    <cfRule type="cellIs" dxfId="42" priority="67" operator="between">
      <formula>1</formula>
      <formula>60</formula>
    </cfRule>
  </conditionalFormatting>
  <conditionalFormatting sqref="E81">
    <cfRule type="cellIs" dxfId="41" priority="296" operator="between">
      <formula>91</formula>
      <formula>366</formula>
    </cfRule>
    <cfRule type="cellIs" dxfId="40" priority="297" operator="between">
      <formula>61</formula>
      <formula>90</formula>
    </cfRule>
    <cfRule type="cellIs" dxfId="39" priority="298" operator="between">
      <formula>1</formula>
      <formula>60</formula>
    </cfRule>
    <cfRule type="cellIs" dxfId="38" priority="299" operator="between">
      <formula>61</formula>
      <formula>90</formula>
    </cfRule>
    <cfRule type="cellIs" dxfId="37" priority="300" operator="between">
      <formula>1</formula>
      <formula>60</formula>
    </cfRule>
    <cfRule type="cellIs" dxfId="36" priority="301" operator="between">
      <formula>91</formula>
      <formula>366</formula>
    </cfRule>
  </conditionalFormatting>
  <conditionalFormatting sqref="E84">
    <cfRule type="cellIs" dxfId="35" priority="68" operator="between">
      <formula>91</formula>
      <formula>366</formula>
    </cfRule>
    <cfRule type="cellIs" dxfId="34" priority="69" operator="between">
      <formula>61</formula>
      <formula>90</formula>
    </cfRule>
    <cfRule type="cellIs" dxfId="33" priority="70" operator="between">
      <formula>1</formula>
      <formula>60</formula>
    </cfRule>
    <cfRule type="cellIs" dxfId="32" priority="71" operator="between">
      <formula>61</formula>
      <formula>90</formula>
    </cfRule>
    <cfRule type="cellIs" dxfId="31" priority="72" operator="between">
      <formula>1</formula>
      <formula>60</formula>
    </cfRule>
    <cfRule type="cellIs" dxfId="30" priority="73" operator="between">
      <formula>91</formula>
      <formula>366</formula>
    </cfRule>
  </conditionalFormatting>
  <conditionalFormatting sqref="E93:E94 E27:E31">
    <cfRule type="cellIs" dxfId="29" priority="117" operator="between">
      <formula>91</formula>
      <formula>366</formula>
    </cfRule>
  </conditionalFormatting>
  <conditionalFormatting sqref="E1:G1 F81 N81 F84:G84 G73:G83 G52:G63 G85:G94 G3:G50">
    <cfRule type="cellIs" dxfId="28" priority="365" operator="equal">
      <formula>1</formula>
    </cfRule>
  </conditionalFormatting>
  <conditionalFormatting sqref="G66:G68">
    <cfRule type="cellIs" dxfId="27" priority="15" operator="equal">
      <formula>1</formula>
    </cfRule>
  </conditionalFormatting>
  <conditionalFormatting sqref="G70:G71">
    <cfRule type="cellIs" dxfId="26" priority="11" operator="equal">
      <formula>1</formula>
    </cfRule>
  </conditionalFormatting>
  <conditionalFormatting sqref="N84">
    <cfRule type="cellIs" dxfId="25" priority="254" operator="equal">
      <formula>1</formula>
    </cfRule>
  </conditionalFormatting>
  <conditionalFormatting sqref="E64">
    <cfRule type="cellIs" dxfId="24" priority="1" operator="between">
      <formula>91</formula>
      <formula>366</formula>
    </cfRule>
    <cfRule type="cellIs" dxfId="23" priority="2" operator="between">
      <formula>61</formula>
      <formula>90</formula>
    </cfRule>
    <cfRule type="cellIs" dxfId="22" priority="3" operator="between">
      <formula>1</formula>
      <formula>60</formula>
    </cfRule>
  </conditionalFormatting>
  <conditionalFormatting sqref="G64">
    <cfRule type="cellIs" dxfId="21" priority="4" operator="equal">
      <formula>1</formula>
    </cfRule>
  </conditionalFormatting>
  <dataValidations count="1">
    <dataValidation type="list" allowBlank="1" showInputMessage="1" showErrorMessage="1" sqref="G52:G53 G73:G76 G60:G62 G90:G91 G93:G94 G70:G71 G40:G42 G84 G58 G86:G88 G3:G21 G66:G68 G78:G79 G81 G26:G31 G24 G49:G50 G44:G45 G56 G33:G36 G64" xr:uid="{91613973-257D-40E7-9C4A-26930B2219A5}">
      <formula1>$G$160:$G$176</formula1>
    </dataValidation>
  </dataValidations>
  <printOptions horizontalCentered="1"/>
  <pageMargins left="0.19685039370078741" right="0.19685039370078741" top="0.39370078740157483" bottom="0.19685039370078741" header="0.19685039370078741" footer="0"/>
  <pageSetup paperSize="9" scale="36" fitToHeight="0" orientation="landscape" blackAndWhite="1" r:id="rId1"/>
  <headerFooter>
    <oddHeader>&amp;C&amp;"Arial CE,Tučné"&amp;16 VACANCIES - PRAGUE + CZECH BRANCHES&amp;R&amp;20 Last update: &amp;D</oddHeader>
  </headerFooter>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EE9F1128-46A2-4C8D-8D89-454C0B06858C}">
          <x14:formula1>
            <xm:f>'Zdroj číselníků'!$A$2:$A$9</xm:f>
          </x14:formula1>
          <xm:sqref>L26:L31 L58 L70:L71 L49:L50 L81 L78:L79 L44:L45 L56 L86:L88 L52:L53 L60:L62 L24 L66:L68 L93:L94 L75:L76 L33:L36 L40:L42 L90:L91 L64 L5:L21</xm:sqref>
        </x14:dataValidation>
        <x14:dataValidation type="list" allowBlank="1" showInputMessage="1" showErrorMessage="1" xr:uid="{016AF0B1-EEDD-4B07-97B0-86A3F23C0897}">
          <x14:formula1>
            <xm:f>'Zdroj číselníků'!$C$2:$C$3</xm:f>
          </x14:formula1>
          <xm:sqref>A58 A70:A71 A81 A49:A50 A26:A31 A78:A79 A44:A45 A56 A86:A88 A52:A53 A60:A62 A66:A68 A93:A94 A75:A76 A33:A36 A40:A42 A91 A64 A5:A21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List5"/>
  <dimension ref="A1:V138"/>
  <sheetViews>
    <sheetView showGridLines="0" tabSelected="1" topLeftCell="A20" workbookViewId="0">
      <selection activeCell="A41" sqref="A41"/>
    </sheetView>
  </sheetViews>
  <sheetFormatPr defaultRowHeight="13.15"/>
  <cols>
    <col min="1" max="1" width="71.140625" customWidth="1"/>
    <col min="2" max="2" width="9.5703125" customWidth="1"/>
  </cols>
  <sheetData>
    <row r="1" spans="1:22" ht="30" customHeight="1">
      <c r="A1" s="901" t="s">
        <v>1010</v>
      </c>
      <c r="B1" s="901"/>
    </row>
    <row r="2" spans="1:22" ht="18" customHeight="1">
      <c r="A2" s="902" t="s">
        <v>1011</v>
      </c>
      <c r="B2" s="902"/>
    </row>
    <row r="3" spans="1:22" ht="6" customHeight="1" thickBot="1">
      <c r="A3" s="804"/>
      <c r="B3" s="804"/>
    </row>
    <row r="4" spans="1:22" ht="19.899999999999999" customHeight="1">
      <c r="A4" s="805" t="s">
        <v>1012</v>
      </c>
      <c r="B4" s="808"/>
    </row>
    <row r="5" spans="1:22" ht="28.15" customHeight="1" thickBot="1">
      <c r="A5" s="806" t="s">
        <v>1013</v>
      </c>
      <c r="B5" s="809">
        <f>COUNTIF(VACANCIES!Q:Q,"&gt;0")</f>
        <v>65</v>
      </c>
    </row>
    <row r="6" spans="1:22" ht="4.9000000000000004" customHeight="1">
      <c r="A6" s="818"/>
      <c r="B6" s="819"/>
    </row>
    <row r="7" spans="1:22" ht="28.15" customHeight="1">
      <c r="A7" s="811" t="s">
        <v>1014</v>
      </c>
      <c r="B7" s="812">
        <f>SUMIFS(tblVacancies[VAC], tblVacancies[Division], "&lt;&gt;")</f>
        <v>102</v>
      </c>
    </row>
    <row r="8" spans="1:22" ht="4.9000000000000004" customHeight="1">
      <c r="A8" s="807"/>
      <c r="B8" s="810"/>
      <c r="V8" s="765"/>
    </row>
    <row r="9" spans="1:22" ht="28.15" customHeight="1">
      <c r="A9" s="820" t="s">
        <v>1015</v>
      </c>
      <c r="B9" s="821">
        <f>SUMIF(VACANCIES!A:A,"RPL*",VACANCIES!Q:Q)</f>
        <v>91</v>
      </c>
      <c r="V9" s="765"/>
    </row>
    <row r="10" spans="1:22" ht="4.9000000000000004" customHeight="1">
      <c r="A10" s="824"/>
      <c r="B10" s="825"/>
      <c r="V10" s="765"/>
    </row>
    <row r="11" spans="1:22" ht="28.15" customHeight="1" thickBot="1">
      <c r="A11" s="820" t="s">
        <v>1016</v>
      </c>
      <c r="B11" s="821">
        <f>SUMIF(VACANCIES!A:A,"NEW*",VACANCIES!Q:Q)</f>
        <v>11</v>
      </c>
      <c r="V11" s="765"/>
    </row>
    <row r="12" spans="1:22" ht="4.9000000000000004" customHeight="1">
      <c r="A12" s="822"/>
      <c r="B12" s="823"/>
      <c r="V12" s="765"/>
    </row>
    <row r="13" spans="1:22" ht="12.75">
      <c r="A13" s="813" t="s">
        <v>1017</v>
      </c>
      <c r="B13" s="814" t="s">
        <v>1018</v>
      </c>
      <c r="V13" s="765"/>
    </row>
    <row r="14" spans="1:22" ht="12.75">
      <c r="A14" s="816" t="s">
        <v>441</v>
      </c>
      <c r="B14" s="835">
        <v>20</v>
      </c>
      <c r="V14" s="765"/>
    </row>
    <row r="15" spans="1:22" ht="12.75">
      <c r="A15" s="815" t="s">
        <v>502</v>
      </c>
      <c r="B15" s="834">
        <v>8</v>
      </c>
      <c r="V15" s="765"/>
    </row>
    <row r="16" spans="1:22" ht="12.75">
      <c r="A16" s="815" t="s">
        <v>521</v>
      </c>
      <c r="B16" s="834">
        <v>38</v>
      </c>
      <c r="V16" s="765"/>
    </row>
    <row r="17" spans="1:22" ht="12.75">
      <c r="A17" s="815" t="s">
        <v>451</v>
      </c>
      <c r="B17" s="834">
        <v>14</v>
      </c>
      <c r="V17" s="765"/>
    </row>
    <row r="18" spans="1:22" ht="12.75">
      <c r="A18" s="815" t="s">
        <v>377</v>
      </c>
      <c r="B18" s="834">
        <v>0</v>
      </c>
      <c r="V18" s="765"/>
    </row>
    <row r="19" spans="1:22" ht="12.75">
      <c r="A19" s="816" t="s">
        <v>423</v>
      </c>
      <c r="B19" s="835">
        <v>9</v>
      </c>
    </row>
    <row r="20" spans="1:22" ht="12.75">
      <c r="A20" s="815" t="s">
        <v>397</v>
      </c>
      <c r="B20" s="834">
        <v>5</v>
      </c>
    </row>
    <row r="21" spans="1:22" ht="12.75">
      <c r="A21" s="816" t="s">
        <v>318</v>
      </c>
      <c r="B21" s="835">
        <v>5</v>
      </c>
    </row>
    <row r="22" spans="1:22" ht="12.75">
      <c r="A22" s="816" t="s">
        <v>390</v>
      </c>
      <c r="B22" s="835">
        <v>0</v>
      </c>
    </row>
    <row r="23" spans="1:22" ht="12.75">
      <c r="A23" s="815" t="s">
        <v>469</v>
      </c>
      <c r="B23" s="834">
        <v>0</v>
      </c>
    </row>
    <row r="24" spans="1:22" ht="12.75">
      <c r="A24" s="816" t="s">
        <v>335</v>
      </c>
      <c r="B24" s="835">
        <v>0</v>
      </c>
    </row>
    <row r="25" spans="1:22" ht="12.75">
      <c r="A25" s="816" t="s">
        <v>1019</v>
      </c>
      <c r="B25" s="835"/>
    </row>
    <row r="26" spans="1:22" ht="12.75">
      <c r="A26" s="815" t="s">
        <v>808</v>
      </c>
      <c r="B26" s="834">
        <v>1</v>
      </c>
    </row>
    <row r="27" spans="1:22" ht="12.75" hidden="1">
      <c r="A27" s="816" t="s">
        <v>794</v>
      </c>
      <c r="B27" s="835">
        <v>2</v>
      </c>
    </row>
    <row r="28" spans="1:22" ht="12.75">
      <c r="A28" s="815" t="s">
        <v>1007</v>
      </c>
      <c r="B28" s="834">
        <v>0</v>
      </c>
    </row>
    <row r="29" spans="1:22" ht="12.75">
      <c r="A29" s="815" t="s">
        <v>1006</v>
      </c>
      <c r="B29" s="834">
        <v>0</v>
      </c>
    </row>
    <row r="30" spans="1:22" ht="12.75">
      <c r="A30" s="816" t="s">
        <v>1008</v>
      </c>
      <c r="B30" s="835">
        <v>0</v>
      </c>
    </row>
    <row r="31" spans="1:22" ht="12.75">
      <c r="A31" s="816" t="s">
        <v>1009</v>
      </c>
      <c r="B31" s="835">
        <v>0</v>
      </c>
    </row>
    <row r="32" spans="1:22" ht="12.75">
      <c r="A32" s="817" t="s">
        <v>1020</v>
      </c>
      <c r="B32" s="836">
        <v>102</v>
      </c>
    </row>
    <row r="33" spans="1:2" ht="4.9000000000000004" customHeight="1">
      <c r="A33" s="804"/>
      <c r="B33" s="804"/>
    </row>
    <row r="34" spans="1:2" ht="4.9000000000000004" customHeight="1">
      <c r="A34" s="804"/>
      <c r="B34" s="804"/>
    </row>
    <row r="35" spans="1:2" ht="12.75">
      <c r="A35" s="813" t="s">
        <v>1021</v>
      </c>
      <c r="B35" s="814" t="s">
        <v>1018</v>
      </c>
    </row>
    <row r="36" spans="1:2" ht="12.75">
      <c r="A36" s="815" t="s">
        <v>857</v>
      </c>
      <c r="B36" s="834">
        <v>13</v>
      </c>
    </row>
    <row r="37" spans="1:2" ht="12.75">
      <c r="A37" s="816" t="s">
        <v>151</v>
      </c>
      <c r="B37" s="835">
        <v>10</v>
      </c>
    </row>
    <row r="38" spans="1:2" ht="12.75">
      <c r="A38" s="815" t="s">
        <v>117</v>
      </c>
      <c r="B38" s="834">
        <v>8</v>
      </c>
    </row>
    <row r="39" spans="1:2" ht="12.75">
      <c r="A39" s="816" t="s">
        <v>97</v>
      </c>
      <c r="B39" s="835">
        <v>6</v>
      </c>
    </row>
    <row r="40" spans="1:2" ht="12.75">
      <c r="A40" s="815" t="s">
        <v>106</v>
      </c>
      <c r="B40" s="834">
        <v>6</v>
      </c>
    </row>
    <row r="41" spans="1:2" ht="12.75">
      <c r="A41" s="816" t="s">
        <v>50</v>
      </c>
      <c r="B41" s="835">
        <v>6</v>
      </c>
    </row>
    <row r="42" spans="1:2" ht="12.75">
      <c r="A42" s="815" t="s">
        <v>881</v>
      </c>
      <c r="B42" s="834">
        <v>5</v>
      </c>
    </row>
    <row r="43" spans="1:2" ht="12.75">
      <c r="A43" s="816" t="s">
        <v>76</v>
      </c>
      <c r="B43" s="835">
        <v>4</v>
      </c>
    </row>
    <row r="44" spans="1:2" ht="12.75">
      <c r="A44" s="815" t="s">
        <v>66</v>
      </c>
      <c r="B44" s="834">
        <v>3</v>
      </c>
    </row>
    <row r="45" spans="1:2" ht="12.75">
      <c r="A45" s="816" t="s">
        <v>59</v>
      </c>
      <c r="B45" s="835">
        <v>3</v>
      </c>
    </row>
    <row r="46" spans="1:2" ht="12.75">
      <c r="A46" s="815" t="s">
        <v>161</v>
      </c>
      <c r="B46" s="834">
        <v>3</v>
      </c>
    </row>
    <row r="47" spans="1:2" ht="12.75">
      <c r="A47" s="815" t="s">
        <v>93</v>
      </c>
      <c r="B47" s="834">
        <v>2</v>
      </c>
    </row>
    <row r="48" spans="1:2" ht="12.75">
      <c r="A48" s="815" t="s">
        <v>157</v>
      </c>
      <c r="B48" s="834">
        <v>2</v>
      </c>
    </row>
    <row r="49" spans="1:2" ht="12.75">
      <c r="A49" s="816" t="s">
        <v>128</v>
      </c>
      <c r="B49" s="835">
        <v>2</v>
      </c>
    </row>
    <row r="50" spans="1:2" ht="12.75">
      <c r="A50" s="816" t="s">
        <v>70</v>
      </c>
      <c r="B50" s="835">
        <v>2</v>
      </c>
    </row>
    <row r="51" spans="1:2" ht="12.75">
      <c r="A51" s="816" t="s">
        <v>110</v>
      </c>
      <c r="B51" s="835">
        <v>2</v>
      </c>
    </row>
    <row r="52" spans="1:2" ht="12.75">
      <c r="A52" s="815" t="s">
        <v>133</v>
      </c>
      <c r="B52" s="834">
        <v>2</v>
      </c>
    </row>
    <row r="53" spans="1:2" ht="12.75">
      <c r="A53" s="816" t="s">
        <v>146</v>
      </c>
      <c r="B53" s="835">
        <v>1</v>
      </c>
    </row>
    <row r="54" spans="1:2" ht="12.75">
      <c r="A54" s="815" t="s">
        <v>102</v>
      </c>
      <c r="B54" s="834">
        <v>1</v>
      </c>
    </row>
    <row r="55" spans="1:2" ht="12.75">
      <c r="A55" s="816" t="s">
        <v>87</v>
      </c>
      <c r="B55" s="835">
        <v>1</v>
      </c>
    </row>
    <row r="56" spans="1:2" ht="12.75">
      <c r="A56" s="815" t="s">
        <v>139</v>
      </c>
      <c r="B56" s="834"/>
    </row>
    <row r="57" spans="1:2" ht="12.75">
      <c r="A57" s="816" t="s">
        <v>80</v>
      </c>
      <c r="B57" s="835"/>
    </row>
    <row r="58" spans="1:2" ht="12.75">
      <c r="A58" s="815" t="s">
        <v>897</v>
      </c>
      <c r="B58" s="834"/>
    </row>
    <row r="59" spans="1:2" ht="12.75">
      <c r="A59" s="816" t="s">
        <v>851</v>
      </c>
      <c r="B59" s="835"/>
    </row>
    <row r="60" spans="1:2" ht="12.75">
      <c r="A60" s="817" t="s">
        <v>1020</v>
      </c>
      <c r="B60" s="836">
        <v>82</v>
      </c>
    </row>
    <row r="61" spans="1:2" ht="4.9000000000000004" customHeight="1">
      <c r="A61" s="804"/>
      <c r="B61" s="804"/>
    </row>
    <row r="62" spans="1:2" ht="4.9000000000000004" customHeight="1">
      <c r="A62" s="804"/>
      <c r="B62" s="804"/>
    </row>
    <row r="63" spans="1:2" ht="12.75">
      <c r="A63" s="813" t="s">
        <v>1022</v>
      </c>
      <c r="B63" s="814" t="s">
        <v>1018</v>
      </c>
    </row>
    <row r="64" spans="1:2" ht="12.75">
      <c r="A64" s="815" t="s">
        <v>446</v>
      </c>
      <c r="B64" s="834">
        <v>22</v>
      </c>
    </row>
    <row r="65" spans="1:2" ht="12.75">
      <c r="A65" s="816" t="s">
        <v>418</v>
      </c>
      <c r="B65" s="835">
        <v>21</v>
      </c>
    </row>
    <row r="66" spans="1:2" ht="12.75">
      <c r="A66" s="815" t="s">
        <v>323</v>
      </c>
      <c r="B66" s="834">
        <v>20</v>
      </c>
    </row>
    <row r="67" spans="1:2" ht="12.75">
      <c r="A67" s="816" t="s">
        <v>330</v>
      </c>
      <c r="B67" s="835">
        <v>17</v>
      </c>
    </row>
    <row r="68" spans="1:2" ht="12.75">
      <c r="A68" s="833" t="s">
        <v>749</v>
      </c>
      <c r="B68" s="837">
        <v>10</v>
      </c>
    </row>
    <row r="69" spans="1:2" ht="12.75">
      <c r="A69" s="815" t="s">
        <v>295</v>
      </c>
      <c r="B69" s="834">
        <v>7</v>
      </c>
    </row>
    <row r="70" spans="1:2" ht="12.75">
      <c r="A70" s="816" t="s">
        <v>296</v>
      </c>
      <c r="B70" s="835">
        <v>5</v>
      </c>
    </row>
    <row r="71" spans="1:2" ht="12.75">
      <c r="A71" s="817" t="s">
        <v>1020</v>
      </c>
      <c r="B71" s="836">
        <v>102</v>
      </c>
    </row>
    <row r="72" spans="1:2" ht="4.9000000000000004" customHeight="1">
      <c r="A72" s="826"/>
      <c r="B72" s="827"/>
    </row>
    <row r="73" spans="1:2" ht="12.75">
      <c r="A73" s="813" t="s">
        <v>1023</v>
      </c>
      <c r="B73" s="814" t="s">
        <v>1018</v>
      </c>
    </row>
    <row r="74" spans="1:2" ht="12.75">
      <c r="A74" s="816" t="s">
        <v>14</v>
      </c>
      <c r="B74" s="835">
        <v>15</v>
      </c>
    </row>
    <row r="75" spans="1:2" ht="12.75">
      <c r="A75" s="815" t="s">
        <v>613</v>
      </c>
      <c r="B75" s="834">
        <v>13</v>
      </c>
    </row>
    <row r="76" spans="1:2" ht="12.75">
      <c r="A76" s="816" t="s">
        <v>41</v>
      </c>
      <c r="B76" s="835">
        <v>10</v>
      </c>
    </row>
    <row r="77" spans="1:2" ht="12.75">
      <c r="A77" s="815" t="s">
        <v>322</v>
      </c>
      <c r="B77" s="834">
        <v>5</v>
      </c>
    </row>
    <row r="78" spans="1:2" ht="12.75">
      <c r="A78" s="816" t="s">
        <v>401</v>
      </c>
      <c r="B78" s="835">
        <v>5</v>
      </c>
    </row>
    <row r="79" spans="1:2" ht="12.75">
      <c r="A79" s="815" t="s">
        <v>91</v>
      </c>
      <c r="B79" s="834">
        <v>5</v>
      </c>
    </row>
    <row r="80" spans="1:2" ht="12.75">
      <c r="A80" s="816" t="s">
        <v>119</v>
      </c>
      <c r="B80" s="835">
        <v>5</v>
      </c>
    </row>
    <row r="81" spans="1:2" ht="12.75">
      <c r="A81" s="815" t="s">
        <v>48</v>
      </c>
      <c r="B81" s="834">
        <v>5</v>
      </c>
    </row>
    <row r="82" spans="1:2" ht="12.75">
      <c r="A82" s="816" t="s">
        <v>427</v>
      </c>
      <c r="B82" s="835">
        <v>5</v>
      </c>
    </row>
    <row r="83" spans="1:2" ht="12.75">
      <c r="A83" s="815" t="s">
        <v>135</v>
      </c>
      <c r="B83" s="834">
        <v>4</v>
      </c>
    </row>
    <row r="84" spans="1:2" ht="12.75">
      <c r="A84" s="816" t="s">
        <v>512</v>
      </c>
      <c r="B84" s="835">
        <v>4</v>
      </c>
    </row>
    <row r="85" spans="1:2" ht="12.75">
      <c r="A85" s="816" t="s">
        <v>903</v>
      </c>
      <c r="B85" s="835">
        <v>3</v>
      </c>
    </row>
    <row r="86" spans="1:2" ht="12.75">
      <c r="A86" s="816" t="s">
        <v>85</v>
      </c>
      <c r="B86" s="835">
        <v>3</v>
      </c>
    </row>
    <row r="87" spans="1:2" ht="12.75">
      <c r="A87" s="815" t="s">
        <v>124</v>
      </c>
      <c r="B87" s="834">
        <v>3</v>
      </c>
    </row>
    <row r="88" spans="1:2" ht="12.75">
      <c r="A88" s="815" t="s">
        <v>62</v>
      </c>
      <c r="B88" s="834">
        <v>3</v>
      </c>
    </row>
    <row r="89" spans="1:2" ht="12.75">
      <c r="A89" s="816" t="s">
        <v>134</v>
      </c>
      <c r="B89" s="835">
        <v>2</v>
      </c>
    </row>
    <row r="90" spans="1:2" ht="12.75">
      <c r="A90" s="815" t="s">
        <v>827</v>
      </c>
      <c r="B90" s="834">
        <v>2</v>
      </c>
    </row>
    <row r="91" spans="1:2" ht="12.75">
      <c r="A91" s="815" t="s">
        <v>835</v>
      </c>
      <c r="B91" s="834">
        <v>2</v>
      </c>
    </row>
    <row r="92" spans="1:2" ht="12.75">
      <c r="A92" s="816" t="s">
        <v>812</v>
      </c>
      <c r="B92" s="835">
        <v>1</v>
      </c>
    </row>
    <row r="93" spans="1:2" ht="12.75">
      <c r="A93" s="815" t="s">
        <v>455</v>
      </c>
      <c r="B93" s="834">
        <v>1</v>
      </c>
    </row>
    <row r="94" spans="1:2" ht="12.75">
      <c r="A94" s="815" t="s">
        <v>798</v>
      </c>
      <c r="B94" s="834">
        <v>1</v>
      </c>
    </row>
    <row r="95" spans="1:2" ht="12.75">
      <c r="A95" s="816" t="s">
        <v>804</v>
      </c>
      <c r="B95" s="835">
        <v>1</v>
      </c>
    </row>
    <row r="96" spans="1:2" ht="12.75">
      <c r="A96" s="815" t="s">
        <v>845</v>
      </c>
      <c r="B96" s="834">
        <v>1</v>
      </c>
    </row>
    <row r="97" spans="1:2" ht="12.75">
      <c r="A97" s="815" t="s">
        <v>462</v>
      </c>
      <c r="B97" s="834">
        <v>1</v>
      </c>
    </row>
    <row r="98" spans="1:2" ht="12.75">
      <c r="A98" s="816" t="s">
        <v>849</v>
      </c>
      <c r="B98" s="835">
        <v>1</v>
      </c>
    </row>
    <row r="99" spans="1:2" ht="12.75">
      <c r="A99" s="816" t="s">
        <v>445</v>
      </c>
      <c r="B99" s="835">
        <v>1</v>
      </c>
    </row>
    <row r="100" spans="1:2" ht="12.75">
      <c r="A100" s="816" t="s">
        <v>329</v>
      </c>
      <c r="B100" s="835">
        <v>0</v>
      </c>
    </row>
    <row r="101" spans="1:2" ht="12.75">
      <c r="A101" s="815" t="s">
        <v>704</v>
      </c>
      <c r="B101" s="834"/>
    </row>
    <row r="102" spans="1:2" ht="12.75">
      <c r="A102" s="815" t="s">
        <v>1019</v>
      </c>
      <c r="B102" s="834">
        <v>0</v>
      </c>
    </row>
    <row r="103" spans="1:2" ht="12.75">
      <c r="A103" s="817" t="s">
        <v>1020</v>
      </c>
      <c r="B103" s="836">
        <v>102</v>
      </c>
    </row>
    <row r="104" spans="1:2" ht="12.75"/>
    <row r="106" spans="1:2">
      <c r="A106" s="830" t="s">
        <v>1024</v>
      </c>
    </row>
    <row r="107" spans="1:2">
      <c r="A107" s="831" t="s">
        <v>1025</v>
      </c>
    </row>
    <row r="108" spans="1:2" ht="39.6">
      <c r="A108" s="828" t="s">
        <v>1026</v>
      </c>
    </row>
    <row r="109" spans="1:2">
      <c r="A109" s="829"/>
    </row>
    <row r="110" spans="1:2">
      <c r="A110" s="831" t="s">
        <v>1027</v>
      </c>
    </row>
    <row r="111" spans="1:2" ht="66">
      <c r="A111" s="828" t="s">
        <v>1028</v>
      </c>
    </row>
    <row r="112" spans="1:2">
      <c r="A112" s="829"/>
    </row>
    <row r="113" spans="1:1">
      <c r="A113" s="831" t="s">
        <v>1029</v>
      </c>
    </row>
    <row r="114" spans="1:1" ht="66">
      <c r="A114" s="828" t="s">
        <v>1030</v>
      </c>
    </row>
    <row r="115" spans="1:1">
      <c r="A115" s="829"/>
    </row>
    <row r="116" spans="1:1">
      <c r="A116" s="831" t="s">
        <v>1031</v>
      </c>
    </row>
    <row r="117" spans="1:1" ht="52.9">
      <c r="A117" s="828" t="s">
        <v>1032</v>
      </c>
    </row>
    <row r="118" spans="1:1">
      <c r="A118" s="829"/>
    </row>
    <row r="119" spans="1:1">
      <c r="A119" s="831" t="s">
        <v>1033</v>
      </c>
    </row>
    <row r="120" spans="1:1" ht="39.6">
      <c r="A120" s="828" t="s">
        <v>1034</v>
      </c>
    </row>
    <row r="121" spans="1:1" ht="39.6">
      <c r="A121" s="832" t="s">
        <v>1035</v>
      </c>
    </row>
    <row r="122" spans="1:1">
      <c r="A122" s="829"/>
    </row>
    <row r="123" spans="1:1" ht="26.45">
      <c r="A123" s="831" t="s">
        <v>1036</v>
      </c>
    </row>
    <row r="124" spans="1:1" ht="26.45">
      <c r="A124" s="828" t="s">
        <v>1037</v>
      </c>
    </row>
    <row r="125" spans="1:1" ht="26.45">
      <c r="A125" s="832" t="s">
        <v>1038</v>
      </c>
    </row>
    <row r="126" spans="1:1" ht="26.45">
      <c r="A126" s="828" t="s">
        <v>1039</v>
      </c>
    </row>
    <row r="127" spans="1:1" ht="26.45">
      <c r="A127" s="832" t="s">
        <v>1040</v>
      </c>
    </row>
    <row r="128" spans="1:1" ht="26.45">
      <c r="A128" s="828" t="s">
        <v>1041</v>
      </c>
    </row>
    <row r="129" spans="1:1" ht="26.45">
      <c r="A129" s="832" t="s">
        <v>1042</v>
      </c>
    </row>
    <row r="130" spans="1:1" ht="26.45">
      <c r="A130" s="828" t="s">
        <v>1043</v>
      </c>
    </row>
    <row r="131" spans="1:1" ht="26.45">
      <c r="A131" s="832" t="s">
        <v>1044</v>
      </c>
    </row>
    <row r="132" spans="1:1" ht="26.45">
      <c r="A132" s="828" t="s">
        <v>1045</v>
      </c>
    </row>
    <row r="133" spans="1:1" ht="26.45">
      <c r="A133" s="832" t="s">
        <v>1046</v>
      </c>
    </row>
    <row r="134" spans="1:1" ht="26.45">
      <c r="A134" s="828" t="s">
        <v>1047</v>
      </c>
    </row>
    <row r="135" spans="1:1" ht="26.45">
      <c r="A135" s="832" t="s">
        <v>1048</v>
      </c>
    </row>
    <row r="136" spans="1:1">
      <c r="A136" s="828" t="s">
        <v>1049</v>
      </c>
    </row>
    <row r="137" spans="1:1" ht="26.45">
      <c r="A137" s="832" t="s">
        <v>1050</v>
      </c>
    </row>
    <row r="138" spans="1:1" ht="26.45">
      <c r="A138" s="828" t="s">
        <v>1051</v>
      </c>
    </row>
  </sheetData>
  <mergeCells count="2">
    <mergeCell ref="A1:B1"/>
    <mergeCell ref="A2:B2"/>
  </mergeCells>
  <pageMargins left="0.75" right="0.75" top="1" bottom="1" header="0.5" footer="0.5"/>
  <pageSetup paperSize="9" orientation="portrait" r:id="rId5"/>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09049-43B7-4122-83F9-5108868FB753}">
  <sheetPr codeName="List7"/>
  <dimension ref="A2:E34"/>
  <sheetViews>
    <sheetView workbookViewId="0">
      <selection activeCell="A5" sqref="A5"/>
    </sheetView>
  </sheetViews>
  <sheetFormatPr defaultRowHeight="13.15"/>
  <sheetData>
    <row r="2" spans="1:5">
      <c r="A2" t="s">
        <v>323</v>
      </c>
      <c r="C2" t="s">
        <v>270</v>
      </c>
      <c r="E2" s="777" t="s">
        <v>1006</v>
      </c>
    </row>
    <row r="3" spans="1:5">
      <c r="A3" t="s">
        <v>446</v>
      </c>
      <c r="C3" t="s">
        <v>269</v>
      </c>
      <c r="E3" s="777" t="s">
        <v>441</v>
      </c>
    </row>
    <row r="4" spans="1:5">
      <c r="A4" t="s">
        <v>296</v>
      </c>
      <c r="E4" s="777" t="s">
        <v>502</v>
      </c>
    </row>
    <row r="5" spans="1:5">
      <c r="A5" t="s">
        <v>749</v>
      </c>
      <c r="E5" s="777" t="s">
        <v>521</v>
      </c>
    </row>
    <row r="6" spans="1:5">
      <c r="A6" t="s">
        <v>330</v>
      </c>
      <c r="E6" s="777" t="s">
        <v>451</v>
      </c>
    </row>
    <row r="7" spans="1:5">
      <c r="A7" t="s">
        <v>418</v>
      </c>
      <c r="E7" s="777" t="s">
        <v>377</v>
      </c>
    </row>
    <row r="8" spans="1:5">
      <c r="A8" t="s">
        <v>295</v>
      </c>
      <c r="E8" s="777" t="s">
        <v>423</v>
      </c>
    </row>
    <row r="9" spans="1:5">
      <c r="A9" t="s">
        <v>298</v>
      </c>
      <c r="E9" s="777" t="s">
        <v>397</v>
      </c>
    </row>
    <row r="10" spans="1:5">
      <c r="E10" s="777" t="s">
        <v>1007</v>
      </c>
    </row>
    <row r="11" spans="1:5">
      <c r="E11" s="777" t="s">
        <v>794</v>
      </c>
    </row>
    <row r="12" spans="1:5">
      <c r="E12" s="777" t="s">
        <v>318</v>
      </c>
    </row>
    <row r="13" spans="1:5">
      <c r="E13" s="777" t="s">
        <v>390</v>
      </c>
    </row>
    <row r="14" spans="1:5">
      <c r="E14" s="777" t="s">
        <v>469</v>
      </c>
    </row>
    <row r="15" spans="1:5">
      <c r="E15" s="777" t="s">
        <v>1008</v>
      </c>
    </row>
    <row r="16" spans="1:5">
      <c r="E16" s="777" t="s">
        <v>1009</v>
      </c>
    </row>
    <row r="17" spans="5:5">
      <c r="E17" s="777" t="s">
        <v>335</v>
      </c>
    </row>
    <row r="34" spans="5:5">
      <c r="E34" s="777" t="s">
        <v>808</v>
      </c>
    </row>
  </sheetData>
  <sortState xmlns:xlrd2="http://schemas.microsoft.com/office/spreadsheetml/2017/richdata2" ref="A2:A8">
    <sortCondition ref="A2:A8"/>
  </sortState>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15709D7CFBA648B2572C3D9E522BE4" ma:contentTypeVersion="14" ma:contentTypeDescription="Create a new document." ma:contentTypeScope="" ma:versionID="9c561358775778f6214a33899d01a50f">
  <xsd:schema xmlns:xsd="http://www.w3.org/2001/XMLSchema" xmlns:xs="http://www.w3.org/2001/XMLSchema" xmlns:p="http://schemas.microsoft.com/office/2006/metadata/properties" xmlns:ns2="6a250a4a-e2c2-486d-b047-39327613b91a" xmlns:ns3="8faaaed6-8110-49b9-b7b2-4517e9fd1e8b" xmlns:ns4="bfc86f1f-e71b-4b44-b616-c049084cfa92" targetNamespace="http://schemas.microsoft.com/office/2006/metadata/properties" ma:root="true" ma:fieldsID="e5ac56d8e972c64fadb021ec437d473c" ns2:_="" ns3:_="" ns4:_="">
    <xsd:import namespace="6a250a4a-e2c2-486d-b047-39327613b91a"/>
    <xsd:import namespace="8faaaed6-8110-49b9-b7b2-4517e9fd1e8b"/>
    <xsd:import namespace="bfc86f1f-e71b-4b44-b616-c049084cfa92"/>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DateTaken" minOccurs="0"/>
                <xsd:element ref="ns4:SharedWithUsers" minOccurs="0"/>
                <xsd:element ref="ns4:SharedWithDetail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250a4a-e2c2-486d-b047-39327613b91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9" nillable="true" ma:displayName="Taxonomy Catch All Column" ma:hidden="true" ma:list="{7cb0092a-161d-43ca-92f5-a5b3ac01df81}" ma:internalName="TaxCatchAll" ma:showField="CatchAllData" ma:web="6a250a4a-e2c2-486d-b047-39327613b91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faaaed6-8110-49b9-b7b2-4517e9fd1e8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12a8e6f-5897-405f-924c-c67cfb4e5c0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DateTaken" ma:index="21" nillable="true" ma:displayName="MediaServiceDateTaken" ma:description="" ma:hidden="true" ma:indexed="true" ma:internalName="MediaServiceDateTake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fc86f1f-e71b-4b44-b616-c049084cfa92"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6a250a4a-e2c2-486d-b047-39327613b91a" xsi:nil="true"/>
    <lcf76f155ced4ddcb4097134ff3c332f xmlns="8faaaed6-8110-49b9-b7b2-4517e9fd1e8b">
      <Terms xmlns="http://schemas.microsoft.com/office/infopath/2007/PartnerControls"/>
    </lcf76f155ced4ddcb4097134ff3c332f>
    <_dlc_DocId xmlns="6a250a4a-e2c2-486d-b047-39327613b91a">E7U53T3S77TT-308362592-11764</_dlc_DocId>
    <_dlc_DocIdUrl xmlns="6a250a4a-e2c2-486d-b047-39327613b91a">
      <Url>https://aaaautoeu.sharepoint.com/sites/DMS/HR/_layouts/15/DocIdRedir.aspx?ID=E7U53T3S77TT-308362592-11764</Url>
      <Description>E7U53T3S77TT-308362592-11764</Description>
    </_dlc_DocIdUrl>
  </documentManagement>
</p:properties>
</file>

<file path=customXml/itemProps1.xml><?xml version="1.0" encoding="utf-8"?>
<ds:datastoreItem xmlns:ds="http://schemas.openxmlformats.org/officeDocument/2006/customXml" ds:itemID="{D0A34999-F24E-4B13-8546-61CD72A28C4B}"/>
</file>

<file path=customXml/itemProps2.xml><?xml version="1.0" encoding="utf-8"?>
<ds:datastoreItem xmlns:ds="http://schemas.openxmlformats.org/officeDocument/2006/customXml" ds:itemID="{4E4750C0-4DC8-4778-9E86-64E10A6C2F57}"/>
</file>

<file path=customXml/itemProps3.xml><?xml version="1.0" encoding="utf-8"?>
<ds:datastoreItem xmlns:ds="http://schemas.openxmlformats.org/officeDocument/2006/customXml" ds:itemID="{A0860CB8-E74E-4B65-BBFA-74C08FBB19EC}"/>
</file>

<file path=customXml/itemProps4.xml><?xml version="1.0" encoding="utf-8"?>
<ds:datastoreItem xmlns:ds="http://schemas.openxmlformats.org/officeDocument/2006/customXml" ds:itemID="{9BCD3C9A-6DA6-4896-8E38-31DBDED7BFC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andrea.kralova</dc:creator>
  <cp:keywords/>
  <dc:description/>
  <cp:lastModifiedBy/>
  <cp:revision/>
  <dcterms:created xsi:type="dcterms:W3CDTF">2005-06-30T14:46:15Z</dcterms:created>
  <dcterms:modified xsi:type="dcterms:W3CDTF">2026-03-04T14:40:19Z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0x010100E715709D7CFBA648B2572C3D9E522BE4</vt:lpwstr>
  </property>
  <property fmtid="{D5CDD505-2E9C-101B-9397-08002B2CF9AE}" pid="3" name="_dlc_DocIdItemGuid">
    <vt:lpwstr>034f4098-93a6-4642-95cb-8bea546d2ab4</vt:lpwstr>
  </property>
  <property fmtid="{D5CDD505-2E9C-101B-9397-08002B2CF9AE}" pid="4" name="MediaServiceImageTags">
    <vt:lpwstr/>
  </property>
</Properties>
</file>